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burbu\OneDrive\Escritorio\ULSB\7moSemestre\Seguridad en sistemas de información\Actividades\3P\Proyecto final\"/>
    </mc:Choice>
  </mc:AlternateContent>
  <xr:revisionPtr revIDLastSave="0" documentId="13_ncr:1_{E6F1FFA1-EADE-486D-A0EF-3319015BD669}" xr6:coauthVersionLast="47" xr6:coauthVersionMax="47" xr10:uidLastSave="{00000000-0000-0000-0000-000000000000}"/>
  <bookViews>
    <workbookView xWindow="-108" yWindow="-108" windowWidth="23256" windowHeight="12456" activeTab="1" xr2:uid="{00000000-000D-0000-FFFF-FFFF00000000}"/>
  </bookViews>
  <sheets>
    <sheet name="Campos de seguridad" sheetId="1" r:id="rId1"/>
    <sheet name="Checklist" sheetId="3" r:id="rId2"/>
    <sheet name="Gráfica" sheetId="4" r:id="rId3"/>
  </sheets>
  <definedNames>
    <definedName name="_xlnm._FilterDatabase" localSheetId="1" hidden="1">Checklist!$A$1:$E$75</definedName>
    <definedName name="CumpleOpciones">Gráfica!$A$7:$D$8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5" i="3" l="1"/>
  <c r="E75"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<sst xmlns="http://schemas.openxmlformats.org/spreadsheetml/2006/main" count="377" uniqueCount="233">
  <si>
    <t>Categoría</t>
  </si>
  <si>
    <t>Campo</t>
  </si>
  <si>
    <t>Descripción</t>
  </si>
  <si>
    <t>Identificación</t>
  </si>
  <si>
    <t>Análisis y Evaluación</t>
  </si>
  <si>
    <t>Impacto</t>
  </si>
  <si>
    <t>Respuesta</t>
  </si>
  <si>
    <t>Recuperación</t>
  </si>
  <si>
    <t>Gestión de Riesgos</t>
  </si>
  <si>
    <t>Amenazas y Vulnerabilidades</t>
  </si>
  <si>
    <t>Control de Acceso</t>
  </si>
  <si>
    <t>Gestión de Incidentes</t>
  </si>
  <si>
    <t>Copias de Seguridad</t>
  </si>
  <si>
    <t>Asignación de Responsables</t>
  </si>
  <si>
    <t>Seguridad en las comunicaciones</t>
  </si>
  <si>
    <t>Controles de seguridad de la información</t>
  </si>
  <si>
    <t>Seguridad de las operaciones</t>
  </si>
  <si>
    <t>Seguridad de los equipos</t>
  </si>
  <si>
    <t>Protección contra software malicioso</t>
  </si>
  <si>
    <t>Copias de seguridad o backups</t>
  </si>
  <si>
    <t>Intercambio de la información</t>
  </si>
  <si>
    <t>Redundancias</t>
  </si>
  <si>
    <t>Cumplimiento de requisitos legales y contractuales</t>
  </si>
  <si>
    <t>Política de comunicación interna</t>
  </si>
  <si>
    <t>ID de Incidente</t>
  </si>
  <si>
    <t>Tipo de Incidente</t>
  </si>
  <si>
    <t>Fecha de Detección</t>
  </si>
  <si>
    <t>Impacto Estimado</t>
  </si>
  <si>
    <t>Nivel de Prioridad</t>
  </si>
  <si>
    <t>Acciones Inmediatas</t>
  </si>
  <si>
    <t>Equipo Responsable</t>
  </si>
  <si>
    <t>Medidas de Contención</t>
  </si>
  <si>
    <t>Recuperación de Sistema</t>
  </si>
  <si>
    <t>ID del Riesgo</t>
  </si>
  <si>
    <t>Fecha de Registro</t>
  </si>
  <si>
    <t>Alcance del Departamento</t>
  </si>
  <si>
    <t>Probabilidad</t>
  </si>
  <si>
    <t>Prioridad</t>
  </si>
  <si>
    <t>Tipo de Amenaza</t>
  </si>
  <si>
    <t>Descripción de la Amenaza</t>
  </si>
  <si>
    <t>Vulnerabilidades Asociadas</t>
  </si>
  <si>
    <t>Controles de Mitigación</t>
  </si>
  <si>
    <t>ID de Usuario</t>
  </si>
  <si>
    <t>Roles y Permisos</t>
  </si>
  <si>
    <t>Métodos de Autenticación</t>
  </si>
  <si>
    <t>Frecuencia de Backups</t>
  </si>
  <si>
    <t>Ubicación de Almacenar</t>
  </si>
  <si>
    <t>Proceso</t>
  </si>
  <si>
    <t>Responsable</t>
  </si>
  <si>
    <t>Identificador único para cada incidente</t>
  </si>
  <si>
    <t>Tipo de incidente registrado (e.g., fallo, ciberataque)</t>
  </si>
  <si>
    <t>Fecha de detección del incidente</t>
  </si>
  <si>
    <t>Descripción detallada del incidente</t>
  </si>
  <si>
    <t>Impacto del incidente en operaciones</t>
  </si>
  <si>
    <t>Nivel de prioridad del incidente</t>
  </si>
  <si>
    <t>Acciones tomadas tras detectar el incidente</t>
  </si>
  <si>
    <t>Equipo o persona responsable del incidente</t>
  </si>
  <si>
    <t>Medidas para contener el incidente</t>
  </si>
  <si>
    <t>Acciones para restaurar los sistemas</t>
  </si>
  <si>
    <t>Identificador único del riesgo</t>
  </si>
  <si>
    <t>Categoría del riesgo (e.g., ciberseguridad, desastres)</t>
  </si>
  <si>
    <t>Fecha en que se registró el riesgo</t>
  </si>
  <si>
    <t>Descripción del riesgo identificado</t>
  </si>
  <si>
    <t>Departamento o área afectada por el riesgo</t>
  </si>
  <si>
    <t>Probabilidad de ocurrencia del riesgo</t>
  </si>
  <si>
    <t>Impacto potencial en la organización</t>
  </si>
  <si>
    <t>Nivel de prioridad asignado al riesgo</t>
  </si>
  <si>
    <t>Tipo específico de amenaza (e.g., ciberataque, natural)</t>
  </si>
  <si>
    <t>Descripción detallada de la amenaza</t>
  </si>
  <si>
    <t>Vulnerabilidades explotables por la amenaza</t>
  </si>
  <si>
    <t>Controles implementados para reducir el riesgo</t>
  </si>
  <si>
    <t>Identificador único del usuario en el sistema</t>
  </si>
  <si>
    <t>Roles y permisos asignados a cada usuario</t>
  </si>
  <si>
    <t>Métodos de autenticación utilizados (e.g., MFA)</t>
  </si>
  <si>
    <t>Identificador único del incidente</t>
  </si>
  <si>
    <t>Tipo de incidente registrado</t>
  </si>
  <si>
    <t>Frecuencia con la que se realizan los backups</t>
  </si>
  <si>
    <t>Ubicación segura de los backups</t>
  </si>
  <si>
    <t>Proceso al que se asigna el responsable</t>
  </si>
  <si>
    <t>Persona responsable del proceso</t>
  </si>
  <si>
    <t>Implementar escaneo de códigos QR para rastrear envíos y folios de rastreo entre repartidor y cliente, usando tecnología Zebra.</t>
  </si>
  <si>
    <t>Establecer redes VPN con OpenVPN para comunicación segura entre almacenes y oficinas o dentro de Amazon VPC.</t>
  </si>
  <si>
    <t>Implementar firewalls avanzados como Cisco ASA para segmentar y proteger redes de inventarios.</t>
  </si>
  <si>
    <t>Uso de IDS/IPS como Snort para detectar intrusiones en redes de logística, así como aislar esta red dentro de Amazon S3.</t>
  </si>
  <si>
    <t>Monitoreo de red en tiempo real con Nagios para detectar tráfico anómalo, incluyendo ACLs.</t>
  </si>
  <si>
    <t>Uso de encriptación TLS 1.3 y proxys en todas las comunicaciones de datos sensibles.</t>
  </si>
  <si>
    <t>Cifrar datos de inventarios y rutas con AES de 256 bits.</t>
  </si>
  <si>
    <t>Implementar autenticación multifactor (2FA) en aplicaciones de inventario.</t>
  </si>
  <si>
    <t>Uso de hashing SHA-256 para almacenar contraseñas de usuarios de sistemas logísticos.</t>
  </si>
  <si>
    <t>Control de acceso basado en roles (RBAC) en plataformas de pedidos y envíos con AWS IAM.</t>
  </si>
  <si>
    <t>Implementar DLP para prevenir la fuga de datos sensibles de inventarios.</t>
  </si>
  <si>
    <t>Encriptar datos de clientes y envíos antes de compartir con terceros.</t>
  </si>
  <si>
    <t>Realizar auditorías de transacciones de inventarios con blockchain para integridad.</t>
  </si>
  <si>
    <t>Pruebas de penetración cada seis meses para evaluar vulnerabilidades.</t>
  </si>
  <si>
    <t>Implementación de un sistema de gestión de incidentes / tickets como Zendesk para documentar problemas.</t>
  </si>
  <si>
    <t>Configuración de sistemas de control de acceso físico con autenticación biométrica.</t>
  </si>
  <si>
    <t>Establecer listas blancas de IP para acceso remoto seguro a sistemas críticos.</t>
  </si>
  <si>
    <t>Evaluación de riesgos de seguridad de manera mensual para identificar amenazas emergentes.</t>
  </si>
  <si>
    <t>Actualizar regularmente todos los dispositivos de logística.</t>
  </si>
  <si>
    <t>Uso de autenticación biométrica en dispositivos de escaneo en almacenes.</t>
  </si>
  <si>
    <t>Aplicación de cifrado BitLocker en dispositivos móviles para proteger datos.</t>
  </si>
  <si>
    <t>Uso de software EDR como CrowdStrike para monitorizar dispositivos contra amenazas avanzadas.</t>
  </si>
  <si>
    <t>Configuración de acceso seguro con WPA3 en redes de dispositivos internos.</t>
  </si>
  <si>
    <t>Implementación de control de acceso físico con tarjetas de proximidad para zonas restringidas.</t>
  </si>
  <si>
    <t>Instalar y actualizar regularmente antimalware en dispositivos de logística como Bitdefender.</t>
  </si>
  <si>
    <t>Monitorear la integridad de archivos críticos con Tripwire.</t>
  </si>
  <si>
    <t>Escaneo de correos electrónicos con Barracuda para evitar phishing.</t>
  </si>
  <si>
    <t>Implementar un sistema de sandboxing para analizar archivos sospechosos, así como cerrar puertos donde puedan entrar troyanos o Ransomware.</t>
  </si>
  <si>
    <t>Uso de firewalls para controlar y filtrar acceso a sitios web de riesgo.</t>
  </si>
  <si>
    <t>Configurar EDR para detección temprana de malware en todos los endpoints.</t>
  </si>
  <si>
    <t>Implementar políticas de backup incrementales en MySQL con replicación en tiempo real.</t>
  </si>
  <si>
    <t>Monitoreo de backups con alertas de fallos en copias de seguridad.</t>
  </si>
  <si>
    <t>Almacenar backups críticos en ubicaciones físicas y en la nube para redundancia.</t>
  </si>
  <si>
    <t>Configuración de pruebas regulares de recuperación de datos para verificar integridad.</t>
  </si>
  <si>
    <t>Uso de cifrado en datos de backups para proteger información sensible.</t>
  </si>
  <si>
    <t>Cifrar toda la información compartida con proveedores usando Cloudflare.</t>
  </si>
  <si>
    <t>Uso de certificados digitales para autenticar servidores de inventarios.</t>
  </si>
  <si>
    <t>Implementación de políticas de clasificación de datos antes de su intercambio.</t>
  </si>
  <si>
    <t>Autenticación SSO para acceso a aplicaciones de gestión, usando SAML.</t>
  </si>
  <si>
    <t>Filtrado de contenido de correos electrónicos para bloquear datos sensibles no autorizados.</t>
  </si>
  <si>
    <t>Escaneo de datos antes de enviarlos a proveedores para evitar fugas de información.</t>
  </si>
  <si>
    <t>Implementar servidores esclavos en MySQL para alta disponibilidad o con AWS RDS.</t>
  </si>
  <si>
    <t>Uso de un sistema de failover automático para asegurar continuidad operativa.</t>
  </si>
  <si>
    <t>Almacenar inventarios en múltiples ubicaciones para asegurar accesibilidad.</t>
  </si>
  <si>
    <t>Uso de almacenamiento en RAID y SAN para mayor tolerancia a fallos de discos.</t>
  </si>
  <si>
    <t>Implementación de balanceo de carga con AWS ELB para distribuir tráfico en sistemas críticos.</t>
  </si>
  <si>
    <t>Replicación de bases de datos críticas en tiempo real para evitar pérdida de datos.</t>
  </si>
  <si>
    <t>Mantener un registro de todas las transacciones de inventarios y rutas.</t>
  </si>
  <si>
    <t>Realizar auditorías regulares de sistemas para asegurar cumplimiento legal.</t>
  </si>
  <si>
    <t>Documentar procesos de manejo de datos sensibles para cumplir con normativas. Construir base de datos de conocimientos.</t>
  </si>
  <si>
    <t>Establecer acuerdos de confidencialidad con terceros que tengan acceso a datos de acuerdo con las leyes de protección legisladas en el país (LFPDPPP).</t>
  </si>
  <si>
    <t>Realizar evaluaciones de impacto en la privacidad (PIA) para nuevos proyectos.</t>
  </si>
  <si>
    <t>Capacitar a los empleados en normativas de protección de datos y seguridad de la información.</t>
  </si>
  <si>
    <t>Mensaje de emergencia: Atención - Aviso: Se ha detectado una interrupción en los sistemas de logística. El equipo de soporte trabaja en su pronta restauración. Lamentamos las molestias y agradecemos su comprensión.</t>
  </si>
  <si>
    <t>Medios de comunicación: Los clientes serán informados de actualizaciones a través de notificaciones en la aplicación móvil, correos electrónicos y en el portal web o redes sociales.</t>
  </si>
  <si>
    <t xml:space="preserve">Auditoría de seguridad </t>
  </si>
  <si>
    <t>Controles</t>
  </si>
  <si>
    <t>Comentarios</t>
  </si>
  <si>
    <t>Cumple</t>
  </si>
  <si>
    <t xml:space="preserve">Checklist de seguridad </t>
  </si>
  <si>
    <t>Gráfica</t>
  </si>
  <si>
    <t>Realizar copias de seguridad automáticas en AWS S3 para inventarios, así como redundancia de instancias para continuidad de servicio al balancear la carga.</t>
  </si>
  <si>
    <t>Continuidad de negocio y servicio bajo contexto de logística, exportación, transporte áereo y marítimo.</t>
  </si>
  <si>
    <t xml:space="preserve">Definir acuerdos de nivel de servicio (SLA) claros con cada operador logístico alternativo en rutas críticas de exportación e importación. </t>
  </si>
  <si>
    <r>
      <rPr>
        <b/>
        <sz val="11"/>
        <color theme="1"/>
        <rFont val="Segoe UI Light"/>
        <family val="2"/>
      </rPr>
      <t>Establecer contratos de contingencia con al menos tres operadores logísticos alternativos para transporte marítimo y aéreo en rutas clave.</t>
    </r>
    <r>
      <rPr>
        <sz val="11"/>
        <color theme="1"/>
        <rFont val="Segoe UI Light"/>
        <family val="2"/>
      </rPr>
      <t xml:space="preserve"> En caso de que el operador principal experimente interrupciones, los contratos pre-aprobados permitirán cambiar rápidamente de proveedor sin tener que negociar nuevos términos, evitando demoras en exportaciones.</t>
    </r>
  </si>
  <si>
    <r>
      <rPr>
        <b/>
        <sz val="11"/>
        <color theme="1"/>
        <rFont val="Segoe UI Light"/>
        <family val="2"/>
      </rPr>
      <t>Configurar un servidor de seguimiento de carga en tránsito con balanceo de carga activo-pasivo, d</t>
    </r>
    <r>
      <rPr>
        <sz val="11"/>
        <color theme="1"/>
        <rFont val="Segoe UI Light"/>
        <family val="2"/>
      </rPr>
      <t>e modo que si el servidor principal cae, el secundario se active inmediatamente. Esto asegura que los clientes puedan continuar rastreando sus envíos sin interrupciones mediante un sistema redundante alojado en una ubicación geográfica diferente.</t>
    </r>
  </si>
  <si>
    <t>Digitalizar y almacenar en la nube toda la documentación necesaria para trámites de exportación e importación (facturas, licencias de exportación, certificados de origen) .</t>
  </si>
  <si>
    <r>
      <rPr>
        <b/>
        <sz val="11"/>
        <color theme="1"/>
        <rFont val="Segoe UI Light"/>
        <family val="2"/>
      </rPr>
      <t>Desplegar un equipo de respuesta de emergencia en los puertos y aeropuertos con mayor volumen de exportación</t>
    </r>
    <r>
      <rPr>
        <sz val="11"/>
        <color theme="1"/>
        <rFont val="Segoe UI Light"/>
        <family val="2"/>
      </rPr>
      <t>, con dispositivos portátiles de escaneo y acceso VPN seguro para gestionar trámites aduaneros de forma móvil. En caso de un siniestro en oficinas centrales, este equipo asegura la continuidad de los trámites aduaneros desde ubicaciones críticas.</t>
    </r>
  </si>
  <si>
    <r>
      <rPr>
        <b/>
        <sz val="11"/>
        <color theme="1"/>
        <rFont val="Segoe UI Light"/>
        <family val="2"/>
      </rPr>
      <t>Pre-instalar software de replicación de escritorios (como AnyDesk o TeamViewer Corporativo) en dispositivos de operadores clave en puertos y aduanas</t>
    </r>
    <r>
      <rPr>
        <sz val="11"/>
        <color theme="1"/>
        <rFont val="Segoe UI Light"/>
        <family val="2"/>
      </rPr>
      <t xml:space="preserve"> para que, en caso de caída de la red principal, el personal pueda continuar gestionando trámites y operaciones críticas desde otros dispositivos o ubicaciones de respaldo. Este sistema permitirá que otros operadores puedan tomar el control remoto de operaciones clave sin necesidad de desplazarse físicamente.</t>
    </r>
  </si>
  <si>
    <r>
      <rPr>
        <b/>
        <sz val="11"/>
        <color theme="1"/>
        <rFont val="Segoe UI Light"/>
        <family val="2"/>
      </rPr>
      <t>Establecer un protocolo de comunicación directa con las autoridades portuarias, aduaneras y aeropuertos para recibir notificaciones en tiempo real sobre cierres,</t>
    </r>
    <r>
      <rPr>
        <sz val="11"/>
        <color theme="1"/>
        <rFont val="Segoe UI Light"/>
        <family val="2"/>
      </rPr>
      <t xml:space="preserve"> inspecciones adicionales o cualquier evento que pueda afectar la logística. Este protocolo incluirá un sistema de alertas priorizadas para que el equipo de logística y operaciones en General Forward pueda tomar decisiones rápidas, reprogramar rutas o activar proveedores alternativos sin demoras en la cadena de suministro.</t>
    </r>
  </si>
  <si>
    <r>
      <rPr>
        <b/>
        <sz val="11"/>
        <color theme="1"/>
        <rFont val="Segoe UI Light"/>
        <family val="2"/>
      </rPr>
      <t>Mantener en inventario un conjunto de dispositivos GPS, satelitales y sistemas de rastreo de carga,</t>
    </r>
    <r>
      <rPr>
        <sz val="11"/>
        <color theme="1"/>
        <rFont val="Segoe UI Light"/>
        <family val="2"/>
      </rPr>
      <t xml:space="preserve"> listos para ser instalados en camiones o contenedores en caso de que el sistema principal de rastreo falle. Este equipo estará distribuido en puntos clave para rápida activación, garantizando el seguimiento continuo de mercancías.</t>
    </r>
  </si>
  <si>
    <r>
      <rPr>
        <b/>
        <sz val="11"/>
        <color theme="1"/>
        <rFont val="Segoe UI Light"/>
        <family val="2"/>
      </rPr>
      <t xml:space="preserve">Implementar un protocolo de rutas alternas con mapas específicos y tiempos estimados para las principales rutas de transporte terrestre, aéreo y marítimo. </t>
    </r>
    <r>
      <rPr>
        <sz val="11"/>
        <color theme="1"/>
        <rFont val="Segoe UI Light"/>
        <family val="2"/>
      </rPr>
      <t>En caso de cierre de rutas, el personal podrá activar de inmediato los planes de desvío sin pérdida de tiempo en replanificación.</t>
    </r>
  </si>
  <si>
    <r>
      <rPr>
        <b/>
        <sz val="11"/>
        <color theme="1"/>
        <rFont val="Segoe UI Light"/>
        <family val="2"/>
      </rPr>
      <t>Implementar un acuerdo de nivel operativo (OLA) con el equipo de TI y los responsables de operaciones aduaneras</t>
    </r>
    <r>
      <rPr>
        <sz val="11"/>
        <color theme="1"/>
        <rFont val="Segoe UI Light"/>
        <family val="2"/>
      </rPr>
      <t xml:space="preserve"> para asegurar que, en caso de un incidente de seguridad o caída de sistemas, el equipo de TI responda en menos de 15 minutos. El OLA debe detallar los procedimientos específicos para recuperar sistemas de seguimiento de carga y aplicaciones de despacho aduanero con una prioridad máxima.</t>
    </r>
  </si>
  <si>
    <r>
      <rPr>
        <b/>
        <sz val="11"/>
        <color theme="1"/>
        <rFont val="Segoe UI Light"/>
        <family val="2"/>
      </rPr>
      <t xml:space="preserve">Automatizar la renovación y verificación de permisos y certificados de exportación mediante un sistema de alertas que envíe recordatorios </t>
    </r>
    <r>
      <rPr>
        <sz val="11"/>
        <color theme="1"/>
        <rFont val="Segoe UI Light"/>
        <family val="2"/>
      </rPr>
      <t>y registre renovaciones en una base de datos segura. Esto asegura que la documentación esté siempre actualizada sin necesidad de accesos físicos a las instalaciones.</t>
    </r>
  </si>
  <si>
    <r>
      <rPr>
        <b/>
        <sz val="11"/>
        <color theme="1"/>
        <rFont val="Segoe UI Light"/>
        <family val="2"/>
      </rPr>
      <t>Configurar un sistema de actualización automática para clientes y operadores mediante un portal web accesible públicamente</t>
    </r>
    <r>
      <rPr>
        <sz val="11"/>
        <color theme="1"/>
        <rFont val="Segoe UI Light"/>
        <family val="2"/>
      </rPr>
      <t>, donde puedan consultar el estado de sus envíos y los protocolos de contingencia activos. Este sistema también enviará notificaciones por correo cuando se publiquen nuevas actualizaciones, manteniendo a los interesados informados sin necesidad de comunicación directa con el equipo de soporte.</t>
    </r>
  </si>
  <si>
    <r>
      <rPr>
        <b/>
        <sz val="11"/>
        <color theme="1"/>
        <rFont val="Segoe UI Light"/>
        <family val="2"/>
      </rPr>
      <t>Realizar pruebas de simulación de interrupciones cada seis meses para los sistemas de carga aérea, marítima y terrestre</t>
    </r>
    <r>
      <rPr>
        <sz val="11"/>
        <color theme="1"/>
        <rFont val="Segoe UI Light"/>
        <family val="2"/>
      </rPr>
      <t>. En estas pruebas, se desconectarán intencionalmente los sistemas principales y se activarán los planes de continuidad para validar la respuesta y los tiempos de recuperación.</t>
    </r>
  </si>
  <si>
    <r>
      <rPr>
        <b/>
        <sz val="11"/>
        <color theme="1"/>
        <rFont val="Segoe UI Light"/>
        <family val="2"/>
      </rPr>
      <t>Mantener personal técnico especializado en TI y soporte logístico de guardia las 24/7 en centros de operaciones clave</t>
    </r>
    <r>
      <rPr>
        <sz val="11"/>
        <color theme="1"/>
        <rFont val="Segoe UI Light"/>
        <family val="2"/>
      </rPr>
      <t>, con la capacidad de realizar soporte remoto inmediato o desplazarse a los sitios en caso de fallas de infraestructura. Esto permite responder de manera proactiva y continua ante cualquier problema de conectividad o caídas de sistemas.</t>
    </r>
  </si>
  <si>
    <t>Sí.</t>
  </si>
  <si>
    <t>No.</t>
  </si>
  <si>
    <t>Cumplido</t>
  </si>
  <si>
    <t>No cumplido</t>
  </si>
  <si>
    <t>Aplicables con Fortinet.</t>
  </si>
  <si>
    <t>Identificador</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</si>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</sst>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Segoe UI Emoji"/>
      <family val="2"/>
    </font>
    <font>
      <sz val="11"/>
      <color theme="1"/>
      <name val="Segoe UI Emoji"/>
      <family val="2"/>
    </font>
    <font>
      <sz val="11"/>
      <color theme="1"/>
      <name val="Segoe UI Light"/>
      <family val="2"/>
    </font>
    <font>
      <b/>
      <sz val="16"/>
      <color theme="1"/>
      <name val="Segoe UI Variable Small Semibol"/>
    </font>
    <font>
      <b/>
      <sz val="12"/>
      <color rgb="FF0070C0"/>
      <name val="Segoe UI"/>
      <family val="2"/>
    </font>
    <font>
      <b/>
      <sz val="11"/>
      <color theme="1"/>
      <name val="Segoe UI Light"/>
      <family val="2"/>
    </font>
    <font>
      <b/>
      <sz val="11"/>
      <color theme="0"/>
      <name val="Segoe UI Emoji"/>
      <family val="2"/>
    </font>
    <font>
      <sz val="11"/>
      <color theme="1"/>
      <name val="Segoe UI"/>
      <family val="2"/>
    </font>
    <font>
      <sz val="8"/>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bgColor indexed="64"/>
      </patternFill>
    </fill>
    <fill>
      <patternFill patternType="solid">
        <fgColor theme="8"/>
        <bgColor indexed="64"/>
      </patternFill>
    </fill>
    <fill>
      <patternFill patternType="solid">
        <fgColor rgb="FFFFFF00"/>
        <bgColor indexed="64"/>
      </patternFill>
    </fill>
  </fills>
  <borders count="17">
    <border>
      <left/>
      <right/>
      <top/>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4"/>
      </left>
      <right style="medium">
        <color theme="4"/>
      </right>
      <top style="medium">
        <color theme="4"/>
      </top>
      <bottom style="medium">
        <color theme="4"/>
      </bottom>
      <diagonal/>
    </border>
    <border>
      <left style="medium">
        <color theme="0" tint="-0.34998626667073579"/>
      </left>
      <right style="medium">
        <color theme="0" tint="-0.34998626667073579"/>
      </right>
      <top/>
      <bottom style="medium">
        <color theme="0" tint="-0.34998626667073579"/>
      </bottom>
      <diagonal/>
    </border>
    <border>
      <left style="medium">
        <color theme="0" tint="-0.34998626667073579"/>
      </left>
      <right/>
      <top/>
      <bottom style="medium">
        <color theme="0" tint="-0.34998626667073579"/>
      </bottom>
      <diagonal/>
    </border>
    <border>
      <left style="medium">
        <color theme="0" tint="-0.34998626667073579"/>
      </left>
      <right/>
      <top style="medium">
        <color theme="0" tint="-0.34998626667073579"/>
      </top>
      <bottom style="medium">
        <color theme="0" tint="-0.34998626667073579"/>
      </bottom>
      <diagonal/>
    </border>
    <border>
      <left style="medium">
        <color theme="4"/>
      </left>
      <right style="medium">
        <color theme="4"/>
      </right>
      <top style="medium">
        <color theme="4"/>
      </top>
      <bottom/>
      <diagonal/>
    </border>
    <border>
      <left/>
      <right/>
      <top/>
      <bottom style="medium">
        <color theme="4"/>
      </bottom>
      <diagonal/>
    </border>
    <border>
      <left style="medium">
        <color theme="8"/>
      </left>
      <right/>
      <top style="medium">
        <color theme="8"/>
      </top>
      <bottom style="medium">
        <color theme="8"/>
      </bottom>
      <diagonal/>
    </border>
    <border>
      <left style="medium">
        <color theme="4"/>
      </left>
      <right/>
      <top style="medium">
        <color theme="4"/>
      </top>
      <bottom style="medium">
        <color theme="4"/>
      </bottom>
      <diagonal/>
    </border>
    <border>
      <left style="medium">
        <color theme="0" tint="-0.34998626667073579"/>
      </left>
      <right/>
      <top style="medium">
        <color theme="0" tint="-0.34998626667073579"/>
      </top>
      <bottom/>
      <diagonal/>
    </border>
    <border>
      <left style="medium">
        <color theme="0" tint="-0.34998626667073579"/>
      </left>
      <right style="medium">
        <color theme="0" tint="-0.34998626667073579"/>
      </right>
      <top style="medium">
        <color theme="0" tint="-0.34998626667073579"/>
      </top>
      <bottom/>
      <diagonal/>
    </border>
    <border>
      <left style="medium">
        <color theme="0" tint="-0.34998626667073579"/>
      </left>
      <right style="medium">
        <color theme="0" tint="-0.34998626667073579"/>
      </right>
      <top/>
      <bottom/>
      <diagonal/>
    </border>
    <border>
      <left style="medium">
        <color theme="8"/>
      </left>
      <right style="medium">
        <color theme="8"/>
      </right>
      <top style="medium">
        <color theme="8"/>
      </top>
      <bottom/>
      <diagonal/>
    </border>
    <border>
      <left style="medium">
        <color theme="8" tint="0.39997558519241921"/>
      </left>
      <right style="medium">
        <color theme="8" tint="0.39997558519241921"/>
      </right>
      <top style="medium">
        <color theme="8" tint="0.39997558519241921"/>
      </top>
      <bottom style="medium">
        <color theme="8" tint="0.39997558519241921"/>
      </bottom>
      <diagonal/>
    </border>
    <border>
      <left/>
      <right style="medium">
        <color theme="0" tint="-0.34998626667073579"/>
      </right>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s>
  <cellStyleXfs count="1">
    <xf numFmtId="0" fontId="0" fillId="0" borderId="0"/>
  </cellStyleXfs>
  <cellXfs count="31">
    <xf numFmtId="0" fontId="0" fillId="0" borderId="0" xfId="0"/>
    <xf numFmtId="0" fontId="2" fillId="0" borderId="0" xfId="0" applyFont="1" applyAlignment="1">
      <alignment wrapText="1"/>
    </xf>
    <xf numFmtId="0" fontId="5" fillId="2" borderId="2" xfId="0" applyFont="1" applyFill="1" applyBorder="1" applyAlignment="1">
      <alignment horizontal="center" vertical="top"/>
    </xf>
    <xf numFmtId="0" fontId="5" fillId="2" borderId="6" xfId="0" applyFont="1" applyFill="1" applyBorder="1" applyAlignment="1">
      <alignment horizontal="center" vertical="top"/>
    </xf>
    <xf numFmtId="0" fontId="2" fillId="4" borderId="8" xfId="0" applyFont="1" applyFill="1" applyBorder="1" applyAlignment="1">
      <alignment wrapText="1"/>
    </xf>
    <xf numFmtId="0" fontId="3" fillId="3" borderId="1" xfId="0" applyFont="1" applyFill="1" applyBorder="1" applyAlignment="1">
      <alignment wrapText="1"/>
    </xf>
    <xf numFmtId="0" fontId="3" fillId="5" borderId="1" xfId="0" applyFont="1" applyFill="1" applyBorder="1" applyAlignment="1">
      <alignment wrapText="1"/>
    </xf>
    <xf numFmtId="0" fontId="5" fillId="2" borderId="9" xfId="0" applyFont="1" applyFill="1" applyBorder="1" applyAlignment="1">
      <alignment horizontal="center" vertical="top"/>
    </xf>
    <xf numFmtId="0" fontId="3" fillId="3" borderId="3" xfId="0" applyFont="1" applyFill="1" applyBorder="1" applyAlignment="1">
      <alignment wrapText="1"/>
    </xf>
    <xf numFmtId="0" fontId="2" fillId="4" borderId="13" xfId="0" applyFont="1" applyFill="1" applyBorder="1" applyAlignment="1">
      <alignment horizontal="center" wrapText="1"/>
    </xf>
    <xf numFmtId="0" fontId="7" fillId="6" borderId="14" xfId="0" applyFont="1" applyFill="1" applyBorder="1" applyAlignment="1">
      <alignment horizontal="center" wrapText="1"/>
    </xf>
    <xf numFmtId="0" fontId="3" fillId="3" borderId="15" xfId="0" applyFont="1" applyFill="1" applyBorder="1" applyAlignment="1">
      <alignment wrapText="1"/>
    </xf>
    <xf numFmtId="0" fontId="3" fillId="5" borderId="16" xfId="0" applyFont="1" applyFill="1" applyBorder="1" applyAlignment="1">
      <alignment wrapText="1"/>
    </xf>
    <xf numFmtId="0" fontId="3" fillId="3" borderId="16" xfId="0" applyFont="1" applyFill="1" applyBorder="1" applyAlignment="1">
      <alignment wrapText="1"/>
    </xf>
    <xf numFmtId="0" fontId="3" fillId="7" borderId="1" xfId="0" applyFont="1" applyFill="1" applyBorder="1" applyAlignment="1">
      <alignment wrapText="1"/>
    </xf>
    <xf numFmtId="0" fontId="1" fillId="3" borderId="5"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0" fillId="7" borderId="0" xfId="0" applyFill="1"/>
    <xf numFmtId="0" fontId="8" fillId="0" borderId="0" xfId="0" applyFont="1"/>
    <xf numFmtId="0" fontId="4" fillId="0" borderId="0" xfId="0" applyFont="1" applyAlignment="1">
      <alignment horizontal="center"/>
    </xf>
    <xf numFmtId="0" fontId="1" fillId="3" borderId="5"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0" fillId="0" borderId="7" xfId="0" applyBorder="1" applyAlignment="1">
      <alignment horizontal="center"/>
    </xf>
    <xf numFmtId="0" fontId="1" fillId="3"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0" fillId="0" borderId="0" xfId="0" applyAlignment="1">
      <alignment horizontal="center"/>
    </xf>
    <xf numFmtId="0" fontId="2" fillId="0" borderId="0" xfId="0" applyFont="1" applyAlignment="1">
      <alignment horizontal="center"/>
    </xf>
    <xf numFmtId="0" fontId="1" fillId="3" borderId="1" xfId="0" applyFont="1" applyFill="1" applyBorder="1" applyAlignment="1">
      <alignment horizontal="center" vertical="center" wrapText="1"/>
    </xf>
  </cellXfs>
  <cellStyles count="1">
    <cellStyle name="Normal" xfId="0" builtinId="0"/>
  </cellStyles>
  <dxfs count="2">
    <dxf>
      <font>
        <b/>
        <i val="0"/>
        <color theme="6"/>
      </font>
      <fill>
        <patternFill>
          <bgColor theme="6" tint="0.79998168889431442"/>
        </patternFill>
      </fill>
      <border>
        <left style="thin">
          <color theme="6"/>
        </left>
        <right style="thin">
          <color theme="6"/>
        </right>
        <top style="thin">
          <color theme="6"/>
        </top>
        <bottom style="thin">
          <color theme="6"/>
        </bottom>
        <vertical/>
        <horizontal/>
      </border>
    </dxf>
    <dxf>
      <font>
        <b/>
        <i val="0"/>
        <color theme="5"/>
      </font>
      <fill>
        <patternFill>
          <bgColor theme="5" tint="0.79998168889431442"/>
        </patternFill>
      </fill>
      <border>
        <left style="thin">
          <color theme="5"/>
        </left>
        <right style="thin">
          <color theme="5"/>
        </right>
        <top style="thin">
          <color theme="5"/>
        </top>
        <bottom style="thin">
          <color theme="5"/>
        </bottom>
        <vertical/>
        <horizontal/>
      </border>
    </dxf>
  </dxfs>
  <tableStyles count="0" defaultTableStyle="TableStyleMedium9" defaultPivotStyle="PivotStyleLight16"/>
  <colors>
    <mruColors>
      <color rgb="FFE9FDE7"/>
      <color rgb="FFE5F7E5"/>
      <color rgb="FFFCFE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RESULTADOS DE AUDITORÍA</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doughnutChart>
        <c:varyColors val="1"/>
        <c:ser>
          <c:idx val="0"/>
          <c:order val="0"/>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4176-428E-A5F8-284641C1C710}"/>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4176-428E-A5F8-284641C1C7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Checklist!$D$74:$E$74</c:f>
              <c:strCache>
                <c:ptCount val="2"/>
                <c:pt idx="0">
                  <c:v>Cumplido</c:v>
                </c:pt>
                <c:pt idx="1">
                  <c:v>No cumplido</c:v>
                </c:pt>
              </c:strCache>
            </c:strRef>
          </c:cat>
          <c:val>
            <c:numRef>
              <c:f>Checklist!$D$75:$E$75</c:f>
              <c:numCache>
                <c:formatCode>General</c:formatCode>
                <c:ptCount val="2"/>
                <c:pt idx="0">
                  <c:v>35</c:v>
                </c:pt>
                <c:pt idx="1">
                  <c:v>34</c:v>
                </c:pt>
              </c:numCache>
            </c:numRef>
          </c:val>
          <c:extLst>
            <c:ext xmlns:c16="http://schemas.microsoft.com/office/drawing/2014/chart" uri="{C3380CC4-5D6E-409C-BE32-E72D297353CC}">
              <c16:uniqueId val="{00000004-4176-428E-A5F8-284641C1C710}"/>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89263</xdr:colOff>
      <xdr:row>4</xdr:row>
      <xdr:rowOff>84909</xdr:rowOff>
    </xdr:from>
    <xdr:to>
      <xdr:col>8</xdr:col>
      <xdr:colOff>394063</xdr:colOff>
      <xdr:row>19</xdr:row>
      <xdr:rowOff>84909</xdr:rowOff>
    </xdr:to>
    <xdr:graphicFrame macro="">
      <xdr:nvGraphicFramePr>
        <xdr:cNvPr id="6" name="Chart 2">
          <a:extLst>
            <a:ext uri="{FF2B5EF4-FFF2-40B4-BE49-F238E27FC236}">
              <a16:creationId xmlns:a16="http://schemas.microsoft.com/office/drawing/2014/main" id="{3D37B029-E845-E253-50CB-8E5A23409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2"/>
  <sheetViews>
    <sheetView zoomScale="60" zoomScaleNormal="60" workbookViewId="0">
      <selection activeCell="J24" sqref="J24"/>
    </sheetView>
  </sheetViews>
  <sheetFormatPr defaultRowHeight="14.4" x14ac:dyDescent="0.3"/>
  <cols>
    <col min="1" max="1" width="50.109375" bestFit="1" customWidth="1"/>
    <col min="2" max="2" width="23.21875" bestFit="1" customWidth="1"/>
    <col min="3" max="3" width="53.21875" customWidth="1"/>
  </cols>
  <sheetData>
    <row r="1" spans="1:3" ht="23.4" x14ac:dyDescent="0.5">
      <c r="A1" s="19" t="s">
        <v>135</v>
      </c>
      <c r="B1" s="19"/>
      <c r="C1" s="19"/>
    </row>
    <row r="2" spans="1:3" ht="44.4" customHeight="1" thickBot="1" x14ac:dyDescent="0.35">
      <c r="A2" s="23" t="e" vm="1">
        <v>#VALUE!</v>
      </c>
      <c r="B2" s="23"/>
      <c r="C2" s="23"/>
    </row>
    <row r="3" spans="1:3" ht="19.8" thickBot="1" x14ac:dyDescent="0.35">
      <c r="A3" s="2" t="s">
        <v>0</v>
      </c>
      <c r="B3" s="3" t="s">
        <v>1</v>
      </c>
      <c r="C3" s="3" t="s">
        <v>2</v>
      </c>
    </row>
    <row r="4" spans="1:3" ht="17.399999999999999" thickBot="1" x14ac:dyDescent="0.45">
      <c r="A4" s="21" t="s">
        <v>3</v>
      </c>
      <c r="B4" s="4" t="s">
        <v>24</v>
      </c>
      <c r="C4" s="5" t="s">
        <v>49</v>
      </c>
    </row>
    <row r="5" spans="1:3" ht="17.399999999999999" thickBot="1" x14ac:dyDescent="0.45">
      <c r="A5" s="20"/>
      <c r="B5" s="4" t="s">
        <v>25</v>
      </c>
      <c r="C5" s="6" t="s">
        <v>50</v>
      </c>
    </row>
    <row r="6" spans="1:3" ht="17.399999999999999" thickBot="1" x14ac:dyDescent="0.45">
      <c r="A6" s="20" t="s">
        <v>4</v>
      </c>
      <c r="B6" s="4" t="s">
        <v>26</v>
      </c>
      <c r="C6" s="5" t="s">
        <v>51</v>
      </c>
    </row>
    <row r="7" spans="1:3" ht="17.399999999999999" thickBot="1" x14ac:dyDescent="0.45">
      <c r="A7" s="20"/>
      <c r="B7" s="4" t="s">
        <v>2</v>
      </c>
      <c r="C7" s="6" t="s">
        <v>52</v>
      </c>
    </row>
    <row r="8" spans="1:3" ht="17.399999999999999" thickBot="1" x14ac:dyDescent="0.45">
      <c r="A8" s="20" t="s">
        <v>5</v>
      </c>
      <c r="B8" s="4" t="s">
        <v>27</v>
      </c>
      <c r="C8" s="5" t="s">
        <v>53</v>
      </c>
    </row>
    <row r="9" spans="1:3" ht="17.399999999999999" thickBot="1" x14ac:dyDescent="0.45">
      <c r="A9" s="20"/>
      <c r="B9" s="4" t="s">
        <v>28</v>
      </c>
      <c r="C9" s="6" t="s">
        <v>54</v>
      </c>
    </row>
    <row r="10" spans="1:3" ht="17.399999999999999" thickBot="1" x14ac:dyDescent="0.45">
      <c r="A10" s="20" t="s">
        <v>6</v>
      </c>
      <c r="B10" s="4" t="s">
        <v>29</v>
      </c>
      <c r="C10" s="5" t="s">
        <v>55</v>
      </c>
    </row>
    <row r="11" spans="1:3" ht="17.399999999999999" thickBot="1" x14ac:dyDescent="0.45">
      <c r="A11" s="20"/>
      <c r="B11" s="4" t="s">
        <v>30</v>
      </c>
      <c r="C11" s="6" t="s">
        <v>56</v>
      </c>
    </row>
    <row r="12" spans="1:3" ht="17.399999999999999" thickBot="1" x14ac:dyDescent="0.45">
      <c r="A12" s="20" t="s">
        <v>7</v>
      </c>
      <c r="B12" s="4" t="s">
        <v>31</v>
      </c>
      <c r="C12" s="5" t="s">
        <v>57</v>
      </c>
    </row>
    <row r="13" spans="1:3" ht="32.4" thickBot="1" x14ac:dyDescent="0.45">
      <c r="A13" s="20"/>
      <c r="B13" s="4" t="s">
        <v>32</v>
      </c>
      <c r="C13" s="6" t="s">
        <v>58</v>
      </c>
    </row>
    <row r="14" spans="1:3" ht="17.399999999999999" thickBot="1" x14ac:dyDescent="0.45">
      <c r="A14" s="20" t="s">
        <v>8</v>
      </c>
      <c r="B14" s="4" t="s">
        <v>33</v>
      </c>
      <c r="C14" s="5" t="s">
        <v>59</v>
      </c>
    </row>
    <row r="15" spans="1:3" ht="17.399999999999999" thickBot="1" x14ac:dyDescent="0.45">
      <c r="A15" s="20"/>
      <c r="B15" s="4" t="s">
        <v>0</v>
      </c>
      <c r="C15" s="6" t="s">
        <v>60</v>
      </c>
    </row>
    <row r="16" spans="1:3" ht="17.399999999999999" thickBot="1" x14ac:dyDescent="0.45">
      <c r="A16" s="20"/>
      <c r="B16" s="4" t="s">
        <v>34</v>
      </c>
      <c r="C16" s="5" t="s">
        <v>61</v>
      </c>
    </row>
    <row r="17" spans="1:3" ht="17.399999999999999" thickBot="1" x14ac:dyDescent="0.45">
      <c r="A17" s="20"/>
      <c r="B17" s="4" t="s">
        <v>2</v>
      </c>
      <c r="C17" s="6" t="s">
        <v>62</v>
      </c>
    </row>
    <row r="18" spans="1:3" ht="32.4" thickBot="1" x14ac:dyDescent="0.45">
      <c r="A18" s="20"/>
      <c r="B18" s="4" t="s">
        <v>35</v>
      </c>
      <c r="C18" s="5" t="s">
        <v>63</v>
      </c>
    </row>
    <row r="19" spans="1:3" ht="17.399999999999999" thickBot="1" x14ac:dyDescent="0.45">
      <c r="A19" s="20"/>
      <c r="B19" s="4" t="s">
        <v>36</v>
      </c>
      <c r="C19" s="6" t="s">
        <v>64</v>
      </c>
    </row>
    <row r="20" spans="1:3" ht="17.399999999999999" thickBot="1" x14ac:dyDescent="0.45">
      <c r="A20" s="20"/>
      <c r="B20" s="4" t="s">
        <v>5</v>
      </c>
      <c r="C20" s="5" t="s">
        <v>65</v>
      </c>
    </row>
    <row r="21" spans="1:3" ht="17.399999999999999" thickBot="1" x14ac:dyDescent="0.45">
      <c r="A21" s="20"/>
      <c r="B21" s="4" t="s">
        <v>37</v>
      </c>
      <c r="C21" s="6" t="s">
        <v>66</v>
      </c>
    </row>
    <row r="22" spans="1:3" ht="17.399999999999999" thickBot="1" x14ac:dyDescent="0.45">
      <c r="A22" s="20"/>
      <c r="B22" s="4" t="s">
        <v>38</v>
      </c>
      <c r="C22" s="5" t="s">
        <v>67</v>
      </c>
    </row>
    <row r="23" spans="1:3" ht="32.4" thickBot="1" x14ac:dyDescent="0.45">
      <c r="A23" s="20" t="s">
        <v>9</v>
      </c>
      <c r="B23" s="4" t="s">
        <v>39</v>
      </c>
      <c r="C23" s="6" t="s">
        <v>68</v>
      </c>
    </row>
    <row r="24" spans="1:3" ht="32.4" thickBot="1" x14ac:dyDescent="0.45">
      <c r="A24" s="20"/>
      <c r="B24" s="4" t="s">
        <v>40</v>
      </c>
      <c r="C24" s="5" t="s">
        <v>69</v>
      </c>
    </row>
    <row r="25" spans="1:3" ht="17.399999999999999" thickBot="1" x14ac:dyDescent="0.45">
      <c r="A25" s="20"/>
      <c r="B25" s="4" t="s">
        <v>41</v>
      </c>
      <c r="C25" s="6" t="s">
        <v>70</v>
      </c>
    </row>
    <row r="26" spans="1:3" ht="17.399999999999999" thickBot="1" x14ac:dyDescent="0.45">
      <c r="A26" s="20"/>
      <c r="B26" s="4" t="s">
        <v>42</v>
      </c>
      <c r="C26" s="5" t="s">
        <v>71</v>
      </c>
    </row>
    <row r="27" spans="1:3" ht="17.399999999999999" thickBot="1" x14ac:dyDescent="0.45">
      <c r="A27" s="20" t="s">
        <v>10</v>
      </c>
      <c r="B27" s="4" t="s">
        <v>43</v>
      </c>
      <c r="C27" s="6" t="s">
        <v>72</v>
      </c>
    </row>
    <row r="28" spans="1:3" ht="32.4" thickBot="1" x14ac:dyDescent="0.45">
      <c r="A28" s="20"/>
      <c r="B28" s="4" t="s">
        <v>44</v>
      </c>
      <c r="C28" s="5" t="s">
        <v>73</v>
      </c>
    </row>
    <row r="29" spans="1:3" ht="17.399999999999999" thickBot="1" x14ac:dyDescent="0.45">
      <c r="A29" s="20"/>
      <c r="B29" s="4" t="s">
        <v>24</v>
      </c>
      <c r="C29" s="6" t="s">
        <v>74</v>
      </c>
    </row>
    <row r="30" spans="1:3" ht="17.399999999999999" thickBot="1" x14ac:dyDescent="0.45">
      <c r="A30" s="20" t="s">
        <v>11</v>
      </c>
      <c r="B30" s="4" t="s">
        <v>25</v>
      </c>
      <c r="C30" s="5" t="s">
        <v>75</v>
      </c>
    </row>
    <row r="31" spans="1:3" ht="17.399999999999999" thickBot="1" x14ac:dyDescent="0.45">
      <c r="A31" s="20"/>
      <c r="B31" s="4" t="s">
        <v>27</v>
      </c>
      <c r="C31" s="6" t="s">
        <v>53</v>
      </c>
    </row>
    <row r="32" spans="1:3" ht="17.399999999999999" thickBot="1" x14ac:dyDescent="0.45">
      <c r="A32" s="20" t="s">
        <v>12</v>
      </c>
      <c r="B32" s="4" t="s">
        <v>45</v>
      </c>
      <c r="C32" s="5" t="s">
        <v>76</v>
      </c>
    </row>
    <row r="33" spans="1:3" ht="17.399999999999999" thickBot="1" x14ac:dyDescent="0.45">
      <c r="A33" s="20"/>
      <c r="B33" s="4" t="s">
        <v>46</v>
      </c>
      <c r="C33" s="6" t="s">
        <v>77</v>
      </c>
    </row>
    <row r="34" spans="1:3" ht="17.399999999999999" thickBot="1" x14ac:dyDescent="0.45">
      <c r="A34" s="20" t="s">
        <v>13</v>
      </c>
      <c r="B34" s="4" t="s">
        <v>47</v>
      </c>
      <c r="C34" s="5" t="s">
        <v>78</v>
      </c>
    </row>
    <row r="35" spans="1:3" ht="17.399999999999999" thickBot="1" x14ac:dyDescent="0.45">
      <c r="A35" s="20"/>
      <c r="B35" s="4" t="s">
        <v>48</v>
      </c>
      <c r="C35" s="6" t="s">
        <v>79</v>
      </c>
    </row>
    <row r="36" spans="1:3" ht="51" thickBot="1" x14ac:dyDescent="0.45">
      <c r="A36" s="20" t="s">
        <v>14</v>
      </c>
      <c r="B36" s="22" t="s">
        <v>136</v>
      </c>
      <c r="C36" s="5" t="s">
        <v>80</v>
      </c>
    </row>
    <row r="37" spans="1:3" ht="34.200000000000003" thickBot="1" x14ac:dyDescent="0.45">
      <c r="A37" s="20"/>
      <c r="B37" s="22"/>
      <c r="C37" s="6" t="s">
        <v>81</v>
      </c>
    </row>
    <row r="38" spans="1:3" ht="34.200000000000003" thickBot="1" x14ac:dyDescent="0.45">
      <c r="A38" s="20"/>
      <c r="B38" s="22"/>
      <c r="C38" s="5" t="s">
        <v>82</v>
      </c>
    </row>
    <row r="39" spans="1:3" ht="51" thickBot="1" x14ac:dyDescent="0.45">
      <c r="A39" s="20"/>
      <c r="B39" s="22"/>
      <c r="C39" s="6" t="s">
        <v>83</v>
      </c>
    </row>
    <row r="40" spans="1:3" ht="34.200000000000003" thickBot="1" x14ac:dyDescent="0.45">
      <c r="A40" s="20"/>
      <c r="B40" s="22"/>
      <c r="C40" s="5" t="s">
        <v>84</v>
      </c>
    </row>
    <row r="41" spans="1:3" ht="34.200000000000003" thickBot="1" x14ac:dyDescent="0.45">
      <c r="A41" s="20"/>
      <c r="B41" s="22"/>
      <c r="C41" s="6" t="s">
        <v>85</v>
      </c>
    </row>
    <row r="42" spans="1:3" ht="17.399999999999999" thickBot="1" x14ac:dyDescent="0.45">
      <c r="A42" s="20" t="s">
        <v>15</v>
      </c>
      <c r="B42" s="22"/>
      <c r="C42" s="5" t="s">
        <v>86</v>
      </c>
    </row>
    <row r="43" spans="1:3" ht="34.200000000000003" thickBot="1" x14ac:dyDescent="0.45">
      <c r="A43" s="20"/>
      <c r="B43" s="22"/>
      <c r="C43" s="6" t="s">
        <v>87</v>
      </c>
    </row>
    <row r="44" spans="1:3" ht="34.200000000000003" thickBot="1" x14ac:dyDescent="0.45">
      <c r="A44" s="20"/>
      <c r="B44" s="22"/>
      <c r="C44" s="5" t="s">
        <v>88</v>
      </c>
    </row>
    <row r="45" spans="1:3" ht="34.200000000000003" thickBot="1" x14ac:dyDescent="0.45">
      <c r="A45" s="20"/>
      <c r="B45" s="22"/>
      <c r="C45" s="6" t="s">
        <v>89</v>
      </c>
    </row>
    <row r="46" spans="1:3" ht="34.200000000000003" thickBot="1" x14ac:dyDescent="0.45">
      <c r="A46" s="20"/>
      <c r="B46" s="22"/>
      <c r="C46" s="5" t="s">
        <v>90</v>
      </c>
    </row>
    <row r="47" spans="1:3" ht="34.200000000000003" thickBot="1" x14ac:dyDescent="0.45">
      <c r="A47" s="20"/>
      <c r="B47" s="22"/>
      <c r="C47" s="6" t="s">
        <v>91</v>
      </c>
    </row>
    <row r="48" spans="1:3" ht="34.200000000000003" thickBot="1" x14ac:dyDescent="0.45">
      <c r="A48" s="20" t="s">
        <v>16</v>
      </c>
      <c r="B48" s="22"/>
      <c r="C48" s="5" t="s">
        <v>92</v>
      </c>
    </row>
    <row r="49" spans="1:3" ht="34.200000000000003" thickBot="1" x14ac:dyDescent="0.45">
      <c r="A49" s="20"/>
      <c r="B49" s="22"/>
      <c r="C49" s="6" t="s">
        <v>93</v>
      </c>
    </row>
    <row r="50" spans="1:3" ht="34.200000000000003" thickBot="1" x14ac:dyDescent="0.45">
      <c r="A50" s="20"/>
      <c r="B50" s="22"/>
      <c r="C50" s="5" t="s">
        <v>94</v>
      </c>
    </row>
    <row r="51" spans="1:3" ht="34.200000000000003" thickBot="1" x14ac:dyDescent="0.45">
      <c r="A51" s="20"/>
      <c r="B51" s="22"/>
      <c r="C51" s="6" t="s">
        <v>95</v>
      </c>
    </row>
    <row r="52" spans="1:3" ht="34.200000000000003" thickBot="1" x14ac:dyDescent="0.45">
      <c r="A52" s="20"/>
      <c r="B52" s="22"/>
      <c r="C52" s="5" t="s">
        <v>96</v>
      </c>
    </row>
    <row r="53" spans="1:3" ht="34.200000000000003" thickBot="1" x14ac:dyDescent="0.45">
      <c r="A53" s="20"/>
      <c r="B53" s="22"/>
      <c r="C53" s="6" t="s">
        <v>97</v>
      </c>
    </row>
    <row r="54" spans="1:3" ht="17.399999999999999" thickBot="1" x14ac:dyDescent="0.45">
      <c r="A54" s="20" t="s">
        <v>17</v>
      </c>
      <c r="B54" s="22"/>
      <c r="C54" s="5" t="s">
        <v>98</v>
      </c>
    </row>
    <row r="55" spans="1:3" ht="34.200000000000003" thickBot="1" x14ac:dyDescent="0.45">
      <c r="A55" s="20"/>
      <c r="B55" s="22"/>
      <c r="C55" s="6" t="s">
        <v>99</v>
      </c>
    </row>
    <row r="56" spans="1:3" ht="34.200000000000003" thickBot="1" x14ac:dyDescent="0.45">
      <c r="A56" s="20"/>
      <c r="B56" s="22"/>
      <c r="C56" s="5" t="s">
        <v>100</v>
      </c>
    </row>
    <row r="57" spans="1:3" ht="34.200000000000003" thickBot="1" x14ac:dyDescent="0.45">
      <c r="A57" s="20"/>
      <c r="B57" s="22"/>
      <c r="C57" s="6" t="s">
        <v>101</v>
      </c>
    </row>
    <row r="58" spans="1:3" ht="34.200000000000003" thickBot="1" x14ac:dyDescent="0.45">
      <c r="A58" s="20"/>
      <c r="B58" s="22"/>
      <c r="C58" s="5" t="s">
        <v>102</v>
      </c>
    </row>
    <row r="59" spans="1:3" ht="34.200000000000003" thickBot="1" x14ac:dyDescent="0.45">
      <c r="A59" s="20"/>
      <c r="B59" s="22"/>
      <c r="C59" s="6" t="s">
        <v>103</v>
      </c>
    </row>
    <row r="60" spans="1:3" ht="34.200000000000003" thickBot="1" x14ac:dyDescent="0.45">
      <c r="A60" s="20" t="s">
        <v>18</v>
      </c>
      <c r="B60" s="22"/>
      <c r="C60" s="5" t="s">
        <v>104</v>
      </c>
    </row>
    <row r="61" spans="1:3" ht="17.399999999999999" thickBot="1" x14ac:dyDescent="0.45">
      <c r="A61" s="20"/>
      <c r="B61" s="22"/>
      <c r="C61" s="6" t="s">
        <v>105</v>
      </c>
    </row>
    <row r="62" spans="1:3" ht="34.200000000000003" thickBot="1" x14ac:dyDescent="0.45">
      <c r="A62" s="20"/>
      <c r="B62" s="22"/>
      <c r="C62" s="5" t="s">
        <v>106</v>
      </c>
    </row>
    <row r="63" spans="1:3" ht="51" thickBot="1" x14ac:dyDescent="0.45">
      <c r="A63" s="20"/>
      <c r="B63" s="22"/>
      <c r="C63" s="6" t="s">
        <v>107</v>
      </c>
    </row>
    <row r="64" spans="1:3" ht="34.200000000000003" thickBot="1" x14ac:dyDescent="0.45">
      <c r="A64" s="20"/>
      <c r="B64" s="22"/>
      <c r="C64" s="5" t="s">
        <v>108</v>
      </c>
    </row>
    <row r="65" spans="1:3" ht="34.200000000000003" thickBot="1" x14ac:dyDescent="0.45">
      <c r="A65" s="20"/>
      <c r="B65" s="22"/>
      <c r="C65" s="6" t="s">
        <v>109</v>
      </c>
    </row>
    <row r="66" spans="1:3" ht="51" thickBot="1" x14ac:dyDescent="0.45">
      <c r="A66" s="20" t="s">
        <v>19</v>
      </c>
      <c r="B66" s="22"/>
      <c r="C66" s="5" t="s">
        <v>141</v>
      </c>
    </row>
    <row r="67" spans="1:3" ht="34.200000000000003" thickBot="1" x14ac:dyDescent="0.45">
      <c r="A67" s="20"/>
      <c r="B67" s="22"/>
      <c r="C67" s="6" t="s">
        <v>110</v>
      </c>
    </row>
    <row r="68" spans="1:3" ht="34.200000000000003" thickBot="1" x14ac:dyDescent="0.45">
      <c r="A68" s="20"/>
      <c r="B68" s="22"/>
      <c r="C68" s="5" t="s">
        <v>111</v>
      </c>
    </row>
    <row r="69" spans="1:3" ht="34.200000000000003" thickBot="1" x14ac:dyDescent="0.45">
      <c r="A69" s="20"/>
      <c r="B69" s="22"/>
      <c r="C69" s="6" t="s">
        <v>112</v>
      </c>
    </row>
    <row r="70" spans="1:3" ht="34.200000000000003" thickBot="1" x14ac:dyDescent="0.45">
      <c r="A70" s="20"/>
      <c r="B70" s="22"/>
      <c r="C70" s="5" t="s">
        <v>113</v>
      </c>
    </row>
    <row r="71" spans="1:3" ht="34.200000000000003" thickBot="1" x14ac:dyDescent="0.45">
      <c r="A71" s="20"/>
      <c r="B71" s="22"/>
      <c r="C71" s="6" t="s">
        <v>114</v>
      </c>
    </row>
    <row r="72" spans="1:3" ht="34.200000000000003" thickBot="1" x14ac:dyDescent="0.45">
      <c r="A72" s="20" t="s">
        <v>20</v>
      </c>
      <c r="B72" s="22"/>
      <c r="C72" s="5" t="s">
        <v>115</v>
      </c>
    </row>
    <row r="73" spans="1:3" ht="34.200000000000003" thickBot="1" x14ac:dyDescent="0.45">
      <c r="A73" s="20"/>
      <c r="B73" s="22"/>
      <c r="C73" s="6" t="s">
        <v>116</v>
      </c>
    </row>
    <row r="74" spans="1:3" ht="34.200000000000003" thickBot="1" x14ac:dyDescent="0.45">
      <c r="A74" s="20"/>
      <c r="B74" s="22"/>
      <c r="C74" s="5" t="s">
        <v>117</v>
      </c>
    </row>
    <row r="75" spans="1:3" ht="34.200000000000003" thickBot="1" x14ac:dyDescent="0.45">
      <c r="A75" s="20"/>
      <c r="B75" s="22"/>
      <c r="C75" s="6" t="s">
        <v>118</v>
      </c>
    </row>
    <row r="76" spans="1:3" ht="34.200000000000003" thickBot="1" x14ac:dyDescent="0.45">
      <c r="A76" s="20"/>
      <c r="B76" s="22"/>
      <c r="C76" s="5" t="s">
        <v>119</v>
      </c>
    </row>
    <row r="77" spans="1:3" ht="34.200000000000003" thickBot="1" x14ac:dyDescent="0.45">
      <c r="A77" s="20"/>
      <c r="B77" s="22"/>
      <c r="C77" s="6" t="s">
        <v>120</v>
      </c>
    </row>
    <row r="78" spans="1:3" ht="34.200000000000003" thickBot="1" x14ac:dyDescent="0.45">
      <c r="A78" s="20" t="s">
        <v>21</v>
      </c>
      <c r="B78" s="22"/>
      <c r="C78" s="5" t="s">
        <v>121</v>
      </c>
    </row>
    <row r="79" spans="1:3" ht="34.200000000000003" thickBot="1" x14ac:dyDescent="0.45">
      <c r="A79" s="20"/>
      <c r="B79" s="22"/>
      <c r="C79" s="6" t="s">
        <v>122</v>
      </c>
    </row>
    <row r="80" spans="1:3" ht="34.200000000000003" thickBot="1" x14ac:dyDescent="0.45">
      <c r="A80" s="20"/>
      <c r="B80" s="22"/>
      <c r="C80" s="5" t="s">
        <v>123</v>
      </c>
    </row>
    <row r="81" spans="1:3" ht="34.200000000000003" thickBot="1" x14ac:dyDescent="0.45">
      <c r="A81" s="20"/>
      <c r="B81" s="22"/>
      <c r="C81" s="6" t="s">
        <v>124</v>
      </c>
    </row>
    <row r="82" spans="1:3" ht="34.200000000000003" thickBot="1" x14ac:dyDescent="0.45">
      <c r="A82" s="20"/>
      <c r="B82" s="22"/>
      <c r="C82" s="5" t="s">
        <v>125</v>
      </c>
    </row>
    <row r="83" spans="1:3" ht="34.200000000000003" thickBot="1" x14ac:dyDescent="0.45">
      <c r="A83" s="20"/>
      <c r="B83" s="22"/>
      <c r="C83" s="6" t="s">
        <v>126</v>
      </c>
    </row>
    <row r="84" spans="1:3" ht="34.200000000000003" thickBot="1" x14ac:dyDescent="0.45">
      <c r="A84" s="20" t="s">
        <v>22</v>
      </c>
      <c r="B84" s="22"/>
      <c r="C84" s="5" t="s">
        <v>127</v>
      </c>
    </row>
    <row r="85" spans="1:3" ht="34.200000000000003" thickBot="1" x14ac:dyDescent="0.45">
      <c r="A85" s="20"/>
      <c r="B85" s="22"/>
      <c r="C85" s="6" t="s">
        <v>128</v>
      </c>
    </row>
    <row r="86" spans="1:3" ht="51" thickBot="1" x14ac:dyDescent="0.45">
      <c r="A86" s="20"/>
      <c r="B86" s="22"/>
      <c r="C86" s="5" t="s">
        <v>129</v>
      </c>
    </row>
    <row r="87" spans="1:3" ht="51" thickBot="1" x14ac:dyDescent="0.45">
      <c r="A87" s="20"/>
      <c r="B87" s="22"/>
      <c r="C87" s="6" t="s">
        <v>130</v>
      </c>
    </row>
    <row r="88" spans="1:3" ht="34.200000000000003" thickBot="1" x14ac:dyDescent="0.45">
      <c r="A88" s="20"/>
      <c r="B88" s="22"/>
      <c r="C88" s="5" t="s">
        <v>131</v>
      </c>
    </row>
    <row r="89" spans="1:3" ht="34.200000000000003" thickBot="1" x14ac:dyDescent="0.45">
      <c r="A89" s="20"/>
      <c r="B89" s="22"/>
      <c r="C89" s="6" t="s">
        <v>132</v>
      </c>
    </row>
    <row r="90" spans="1:3" ht="67.8" thickBot="1" x14ac:dyDescent="0.45">
      <c r="A90" s="20" t="s">
        <v>23</v>
      </c>
      <c r="B90" s="22"/>
      <c r="C90" s="5" t="s">
        <v>133</v>
      </c>
    </row>
    <row r="91" spans="1:3" ht="67.8" thickBot="1" x14ac:dyDescent="0.45">
      <c r="A91" s="20"/>
      <c r="B91" s="22"/>
      <c r="C91" s="6" t="s">
        <v>134</v>
      </c>
    </row>
    <row r="92" spans="1:3" ht="15.6" x14ac:dyDescent="0.35">
      <c r="A92" s="1"/>
      <c r="B92" s="1"/>
    </row>
  </sheetData>
  <mergeCells count="24">
    <mergeCell ref="A78:A83"/>
    <mergeCell ref="A84:A89"/>
    <mergeCell ref="A90:A91"/>
    <mergeCell ref="B36:B91"/>
    <mergeCell ref="A2:C2"/>
    <mergeCell ref="A66:A71"/>
    <mergeCell ref="A72:A77"/>
    <mergeCell ref="A14:A22"/>
    <mergeCell ref="A1:C1"/>
    <mergeCell ref="A42:A47"/>
    <mergeCell ref="A48:A53"/>
    <mergeCell ref="A54:A59"/>
    <mergeCell ref="A60:A65"/>
    <mergeCell ref="A23:A26"/>
    <mergeCell ref="A27:A29"/>
    <mergeCell ref="A30:A31"/>
    <mergeCell ref="A32:A33"/>
    <mergeCell ref="A34:A35"/>
    <mergeCell ref="A36:A41"/>
    <mergeCell ref="A4:A5"/>
    <mergeCell ref="A6:A7"/>
    <mergeCell ref="A8:A9"/>
    <mergeCell ref="A10:A11"/>
    <mergeCell ref="A12:A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E884F-CA6D-4251-8C09-857AD4348286}">
  <dimension ref="A1:E76"/>
  <sheetViews>
    <sheetView tabSelected="1" zoomScale="90" zoomScaleNormal="90" workbookViewId="0">
      <selection activeCell="C12" sqref="C12"/>
    </sheetView>
  </sheetViews>
  <sheetFormatPr defaultRowHeight="14.4" x14ac:dyDescent="0.3"/>
  <cols>
    <col min="1" max="2" width="25" customWidth="1"/>
    <col min="3" max="3" width="183.109375" customWidth="1"/>
    <col min="4" max="4" width="13.44140625" bestFit="1" customWidth="1"/>
    <col min="5" max="5" width="30" customWidth="1"/>
  </cols>
  <sheetData>
    <row r="1" spans="1:5" ht="23.4" x14ac:dyDescent="0.5">
      <c r="A1" s="19" t="s">
        <v>139</v>
      </c>
      <c r="B1" s="19"/>
      <c r="C1" s="19"/>
      <c r="D1" s="19"/>
      <c r="E1" s="19"/>
    </row>
    <row r="2" spans="1:5" ht="44.4" customHeight="1" thickBot="1" x14ac:dyDescent="0.35">
      <c r="A2" s="23" t="e" vm="1">
        <v>#VALUE!</v>
      </c>
      <c r="B2" s="23"/>
      <c r="C2" s="23"/>
      <c r="D2" s="23"/>
      <c r="E2" s="23"/>
    </row>
    <row r="3" spans="1:5" ht="19.8" thickBot="1" x14ac:dyDescent="0.35">
      <c r="A3" s="7" t="s">
        <v>0</v>
      </c>
      <c r="B3" s="7" t="s">
        <v>162</v>
      </c>
      <c r="C3" s="2" t="s">
        <v>1</v>
      </c>
      <c r="D3" s="2" t="s">
        <v>138</v>
      </c>
      <c r="E3" s="2" t="s">
        <v>137</v>
      </c>
    </row>
    <row r="4" spans="1:5" ht="17.399999999999999" thickBot="1" x14ac:dyDescent="0.45">
      <c r="A4" s="20" t="s">
        <v>14</v>
      </c>
      <c r="B4" s="16" t="s">
        <v>163</v>
      </c>
      <c r="C4" s="8" t="s">
        <v>80</v>
      </c>
      <c r="D4" s="8" t="s">
        <v>158</v>
      </c>
      <c r="E4" s="8"/>
    </row>
    <row r="5" spans="1:5" ht="17.399999999999999" thickBot="1" x14ac:dyDescent="0.45">
      <c r="A5" s="20"/>
      <c r="B5" s="15" t="s">
        <v>164</v>
      </c>
      <c r="C5" s="14" t="s">
        <v>81</v>
      </c>
      <c r="D5" s="6" t="s">
        <v>157</v>
      </c>
      <c r="E5" s="6"/>
    </row>
    <row r="6" spans="1:5" ht="17.399999999999999" thickBot="1" x14ac:dyDescent="0.45">
      <c r="A6" s="20"/>
      <c r="B6" s="15" t="s">
        <v>165</v>
      </c>
      <c r="C6" s="14" t="s">
        <v>82</v>
      </c>
      <c r="D6" s="5" t="s">
        <v>158</v>
      </c>
      <c r="E6" s="5"/>
    </row>
    <row r="7" spans="1:5" ht="17.399999999999999" thickBot="1" x14ac:dyDescent="0.45">
      <c r="A7" s="20"/>
      <c r="B7" s="16" t="s">
        <v>166</v>
      </c>
      <c r="C7" s="14" t="s">
        <v>83</v>
      </c>
      <c r="D7" s="6" t="s">
        <v>157</v>
      </c>
      <c r="E7" s="6"/>
    </row>
    <row r="8" spans="1:5" ht="17.399999999999999" thickBot="1" x14ac:dyDescent="0.45">
      <c r="A8" s="20"/>
      <c r="B8" s="15" t="s">
        <v>167</v>
      </c>
      <c r="C8" s="14" t="s">
        <v>84</v>
      </c>
      <c r="D8" s="5" t="s">
        <v>158</v>
      </c>
      <c r="E8" s="5"/>
    </row>
    <row r="9" spans="1:5" ht="17.399999999999999" thickBot="1" x14ac:dyDescent="0.45">
      <c r="A9" s="20"/>
      <c r="B9" s="15" t="s">
        <v>168</v>
      </c>
      <c r="C9" s="14" t="s">
        <v>85</v>
      </c>
      <c r="D9" s="6" t="s">
        <v>157</v>
      </c>
      <c r="E9" s="6"/>
    </row>
    <row r="10" spans="1:5" ht="17.399999999999999" thickBot="1" x14ac:dyDescent="0.45">
      <c r="A10" s="20" t="s">
        <v>15</v>
      </c>
      <c r="B10" s="16" t="s">
        <v>169</v>
      </c>
      <c r="C10" s="5" t="s">
        <v>86</v>
      </c>
      <c r="D10" s="5" t="s">
        <v>158</v>
      </c>
      <c r="E10" s="5"/>
    </row>
    <row r="11" spans="1:5" ht="17.399999999999999" thickBot="1" x14ac:dyDescent="0.45">
      <c r="A11" s="20"/>
      <c r="B11" s="15" t="s">
        <v>170</v>
      </c>
      <c r="C11" s="6" t="s">
        <v>87</v>
      </c>
      <c r="D11" s="8" t="s">
        <v>157</v>
      </c>
      <c r="E11" s="6"/>
    </row>
    <row r="12" spans="1:5" ht="17.399999999999999" thickBot="1" x14ac:dyDescent="0.45">
      <c r="A12" s="20"/>
      <c r="B12" s="15" t="s">
        <v>171</v>
      </c>
      <c r="C12" s="5" t="s">
        <v>88</v>
      </c>
      <c r="D12" s="6" t="s">
        <v>158</v>
      </c>
      <c r="E12" s="5"/>
    </row>
    <row r="13" spans="1:5" ht="17.399999999999999" thickBot="1" x14ac:dyDescent="0.45">
      <c r="A13" s="20"/>
      <c r="B13" s="16" t="s">
        <v>172</v>
      </c>
      <c r="C13" s="6" t="s">
        <v>89</v>
      </c>
      <c r="D13" s="5" t="s">
        <v>157</v>
      </c>
      <c r="E13" s="6"/>
    </row>
    <row r="14" spans="1:5" ht="17.399999999999999" thickBot="1" x14ac:dyDescent="0.45">
      <c r="A14" s="20"/>
      <c r="B14" s="15" t="s">
        <v>173</v>
      </c>
      <c r="C14" s="5" t="s">
        <v>90</v>
      </c>
      <c r="D14" s="6" t="s">
        <v>158</v>
      </c>
      <c r="E14" s="5"/>
    </row>
    <row r="15" spans="1:5" ht="17.399999999999999" thickBot="1" x14ac:dyDescent="0.45">
      <c r="A15" s="20"/>
      <c r="B15" s="15" t="s">
        <v>174</v>
      </c>
      <c r="C15" s="6" t="s">
        <v>91</v>
      </c>
      <c r="D15" s="5" t="s">
        <v>157</v>
      </c>
      <c r="E15" s="6"/>
    </row>
    <row r="16" spans="1:5" ht="17.399999999999999" thickBot="1" x14ac:dyDescent="0.45">
      <c r="A16" s="20" t="s">
        <v>16</v>
      </c>
      <c r="B16" s="16" t="s">
        <v>175</v>
      </c>
      <c r="C16" s="5" t="s">
        <v>92</v>
      </c>
      <c r="D16" s="6" t="s">
        <v>158</v>
      </c>
      <c r="E16" s="5"/>
    </row>
    <row r="17" spans="1:5" ht="17.399999999999999" thickBot="1" x14ac:dyDescent="0.45">
      <c r="A17" s="20"/>
      <c r="B17" s="15" t="s">
        <v>176</v>
      </c>
      <c r="C17" s="6" t="s">
        <v>93</v>
      </c>
      <c r="D17" s="5" t="s">
        <v>157</v>
      </c>
      <c r="E17" s="6"/>
    </row>
    <row r="18" spans="1:5" ht="17.399999999999999" thickBot="1" x14ac:dyDescent="0.45">
      <c r="A18" s="20"/>
      <c r="B18" s="15" t="s">
        <v>177</v>
      </c>
      <c r="C18" s="5" t="s">
        <v>94</v>
      </c>
      <c r="D18" s="8" t="s">
        <v>158</v>
      </c>
      <c r="E18" s="5"/>
    </row>
    <row r="19" spans="1:5" ht="17.399999999999999" thickBot="1" x14ac:dyDescent="0.45">
      <c r="A19" s="20"/>
      <c r="B19" s="16" t="s">
        <v>178</v>
      </c>
      <c r="C19" s="6" t="s">
        <v>95</v>
      </c>
      <c r="D19" s="6" t="s">
        <v>157</v>
      </c>
      <c r="E19" s="6"/>
    </row>
    <row r="20" spans="1:5" ht="17.399999999999999" thickBot="1" x14ac:dyDescent="0.45">
      <c r="A20" s="20"/>
      <c r="B20" s="15" t="s">
        <v>179</v>
      </c>
      <c r="C20" s="14" t="s">
        <v>96</v>
      </c>
      <c r="D20" s="5" t="s">
        <v>158</v>
      </c>
      <c r="E20" s="5"/>
    </row>
    <row r="21" spans="1:5" ht="17.399999999999999" thickBot="1" x14ac:dyDescent="0.45">
      <c r="A21" s="20"/>
      <c r="B21" s="15" t="s">
        <v>180</v>
      </c>
      <c r="C21" s="6" t="s">
        <v>97</v>
      </c>
      <c r="D21" s="6" t="s">
        <v>157</v>
      </c>
      <c r="E21" s="6"/>
    </row>
    <row r="22" spans="1:5" ht="17.399999999999999" thickBot="1" x14ac:dyDescent="0.45">
      <c r="A22" s="20" t="s">
        <v>17</v>
      </c>
      <c r="B22" s="16" t="s">
        <v>181</v>
      </c>
      <c r="C22" s="5" t="s">
        <v>98</v>
      </c>
      <c r="D22" s="5" t="s">
        <v>158</v>
      </c>
      <c r="E22" s="5"/>
    </row>
    <row r="23" spans="1:5" ht="17.399999999999999" thickBot="1" x14ac:dyDescent="0.45">
      <c r="A23" s="20"/>
      <c r="B23" s="15" t="s">
        <v>182</v>
      </c>
      <c r="C23" s="6" t="s">
        <v>99</v>
      </c>
      <c r="D23" s="6" t="s">
        <v>157</v>
      </c>
      <c r="E23" s="6"/>
    </row>
    <row r="24" spans="1:5" ht="17.399999999999999" thickBot="1" x14ac:dyDescent="0.45">
      <c r="A24" s="20"/>
      <c r="B24" s="15" t="s">
        <v>183</v>
      </c>
      <c r="C24" s="5" t="s">
        <v>100</v>
      </c>
      <c r="D24" s="5" t="s">
        <v>158</v>
      </c>
      <c r="E24" s="5"/>
    </row>
    <row r="25" spans="1:5" ht="17.399999999999999" thickBot="1" x14ac:dyDescent="0.45">
      <c r="A25" s="20"/>
      <c r="B25" s="16" t="s">
        <v>184</v>
      </c>
      <c r="C25" s="6" t="s">
        <v>101</v>
      </c>
      <c r="D25" s="8" t="s">
        <v>157</v>
      </c>
      <c r="E25" s="6"/>
    </row>
    <row r="26" spans="1:5" ht="17.399999999999999" thickBot="1" x14ac:dyDescent="0.45">
      <c r="A26" s="20"/>
      <c r="B26" s="15" t="s">
        <v>185</v>
      </c>
      <c r="C26" s="14" t="s">
        <v>102</v>
      </c>
      <c r="D26" s="6" t="s">
        <v>158</v>
      </c>
      <c r="E26" s="5"/>
    </row>
    <row r="27" spans="1:5" ht="17.399999999999999" thickBot="1" x14ac:dyDescent="0.45">
      <c r="A27" s="20"/>
      <c r="B27" s="15" t="s">
        <v>186</v>
      </c>
      <c r="C27" s="6" t="s">
        <v>103</v>
      </c>
      <c r="D27" s="5" t="s">
        <v>157</v>
      </c>
      <c r="E27" s="6"/>
    </row>
    <row r="28" spans="1:5" ht="17.399999999999999" thickBot="1" x14ac:dyDescent="0.45">
      <c r="A28" s="20" t="s">
        <v>18</v>
      </c>
      <c r="B28" s="16" t="s">
        <v>187</v>
      </c>
      <c r="C28" s="14" t="s">
        <v>104</v>
      </c>
      <c r="D28" s="6" t="s">
        <v>158</v>
      </c>
      <c r="E28" s="5"/>
    </row>
    <row r="29" spans="1:5" ht="17.399999999999999" thickBot="1" x14ac:dyDescent="0.45">
      <c r="A29" s="20"/>
      <c r="B29" s="15" t="s">
        <v>188</v>
      </c>
      <c r="C29" s="6" t="s">
        <v>105</v>
      </c>
      <c r="D29" s="5" t="s">
        <v>157</v>
      </c>
      <c r="E29" s="6"/>
    </row>
    <row r="30" spans="1:5" ht="17.399999999999999" thickBot="1" x14ac:dyDescent="0.45">
      <c r="A30" s="20"/>
      <c r="B30" s="15" t="s">
        <v>189</v>
      </c>
      <c r="C30" s="5" t="s">
        <v>106</v>
      </c>
      <c r="D30" s="6" t="s">
        <v>158</v>
      </c>
      <c r="E30" s="5"/>
    </row>
    <row r="31" spans="1:5" ht="17.399999999999999" thickBot="1" x14ac:dyDescent="0.45">
      <c r="A31" s="20"/>
      <c r="B31" s="16" t="s">
        <v>190</v>
      </c>
      <c r="C31" s="14" t="s">
        <v>107</v>
      </c>
      <c r="D31" s="5" t="s">
        <v>157</v>
      </c>
      <c r="E31" s="6"/>
    </row>
    <row r="32" spans="1:5" ht="17.399999999999999" thickBot="1" x14ac:dyDescent="0.45">
      <c r="A32" s="20"/>
      <c r="B32" s="15" t="s">
        <v>191</v>
      </c>
      <c r="C32" s="14" t="s">
        <v>108</v>
      </c>
      <c r="D32" s="8" t="s">
        <v>158</v>
      </c>
      <c r="E32" s="5"/>
    </row>
    <row r="33" spans="1:5" ht="17.399999999999999" thickBot="1" x14ac:dyDescent="0.45">
      <c r="A33" s="20"/>
      <c r="B33" s="15" t="s">
        <v>192</v>
      </c>
      <c r="C33" s="6" t="s">
        <v>109</v>
      </c>
      <c r="D33" s="6" t="s">
        <v>157</v>
      </c>
      <c r="E33" s="6"/>
    </row>
    <row r="34" spans="1:5" ht="17.399999999999999" thickBot="1" x14ac:dyDescent="0.45">
      <c r="A34" s="20" t="s">
        <v>19</v>
      </c>
      <c r="B34" s="16" t="s">
        <v>193</v>
      </c>
      <c r="C34" s="5" t="s">
        <v>141</v>
      </c>
      <c r="D34" s="5" t="s">
        <v>158</v>
      </c>
      <c r="E34" s="5"/>
    </row>
    <row r="35" spans="1:5" ht="17.399999999999999" thickBot="1" x14ac:dyDescent="0.45">
      <c r="A35" s="20"/>
      <c r="B35" s="15" t="s">
        <v>194</v>
      </c>
      <c r="C35" s="6" t="s">
        <v>110</v>
      </c>
      <c r="D35" s="6" t="s">
        <v>157</v>
      </c>
      <c r="E35" s="6"/>
    </row>
    <row r="36" spans="1:5" ht="17.399999999999999" thickBot="1" x14ac:dyDescent="0.45">
      <c r="A36" s="20"/>
      <c r="B36" s="15" t="s">
        <v>195</v>
      </c>
      <c r="C36" s="5" t="s">
        <v>111</v>
      </c>
      <c r="D36" s="5" t="s">
        <v>158</v>
      </c>
      <c r="E36" s="5"/>
    </row>
    <row r="37" spans="1:5" ht="17.399999999999999" thickBot="1" x14ac:dyDescent="0.45">
      <c r="A37" s="20"/>
      <c r="B37" s="16" t="s">
        <v>196</v>
      </c>
      <c r="C37" s="6" t="s">
        <v>112</v>
      </c>
      <c r="D37" s="6" t="s">
        <v>157</v>
      </c>
      <c r="E37" s="6"/>
    </row>
    <row r="38" spans="1:5" ht="17.399999999999999" thickBot="1" x14ac:dyDescent="0.45">
      <c r="A38" s="20"/>
      <c r="B38" s="15" t="s">
        <v>197</v>
      </c>
      <c r="C38" s="5" t="s">
        <v>113</v>
      </c>
      <c r="D38" s="5" t="s">
        <v>158</v>
      </c>
      <c r="E38" s="5"/>
    </row>
    <row r="39" spans="1:5" ht="17.399999999999999" thickBot="1" x14ac:dyDescent="0.45">
      <c r="A39" s="20"/>
      <c r="B39" s="15" t="s">
        <v>198</v>
      </c>
      <c r="C39" s="6" t="s">
        <v>114</v>
      </c>
      <c r="D39" s="8" t="s">
        <v>157</v>
      </c>
      <c r="E39" s="6"/>
    </row>
    <row r="40" spans="1:5" ht="17.399999999999999" thickBot="1" x14ac:dyDescent="0.45">
      <c r="A40" s="20" t="s">
        <v>20</v>
      </c>
      <c r="B40" s="16" t="s">
        <v>199</v>
      </c>
      <c r="C40" s="5" t="s">
        <v>115</v>
      </c>
      <c r="D40" s="6" t="s">
        <v>158</v>
      </c>
      <c r="E40" s="5"/>
    </row>
    <row r="41" spans="1:5" ht="17.399999999999999" thickBot="1" x14ac:dyDescent="0.45">
      <c r="A41" s="20"/>
      <c r="B41" s="15" t="s">
        <v>200</v>
      </c>
      <c r="C41" s="6" t="s">
        <v>116</v>
      </c>
      <c r="D41" s="5" t="s">
        <v>157</v>
      </c>
      <c r="E41" s="6"/>
    </row>
    <row r="42" spans="1:5" ht="17.399999999999999" thickBot="1" x14ac:dyDescent="0.45">
      <c r="A42" s="20"/>
      <c r="B42" s="15" t="s">
        <v>201</v>
      </c>
      <c r="C42" s="5" t="s">
        <v>117</v>
      </c>
      <c r="D42" s="6" t="s">
        <v>158</v>
      </c>
      <c r="E42" s="5"/>
    </row>
    <row r="43" spans="1:5" ht="17.399999999999999" thickBot="1" x14ac:dyDescent="0.45">
      <c r="A43" s="20"/>
      <c r="B43" s="16" t="s">
        <v>202</v>
      </c>
      <c r="C43" s="6" t="s">
        <v>118</v>
      </c>
      <c r="D43" s="5" t="s">
        <v>157</v>
      </c>
      <c r="E43" s="6"/>
    </row>
    <row r="44" spans="1:5" ht="17.399999999999999" thickBot="1" x14ac:dyDescent="0.45">
      <c r="A44" s="20"/>
      <c r="B44" s="15" t="s">
        <v>203</v>
      </c>
      <c r="C44" s="5" t="s">
        <v>119</v>
      </c>
      <c r="D44" s="6" t="s">
        <v>158</v>
      </c>
      <c r="E44" s="5"/>
    </row>
    <row r="45" spans="1:5" ht="17.399999999999999" thickBot="1" x14ac:dyDescent="0.45">
      <c r="A45" s="20"/>
      <c r="B45" s="15" t="s">
        <v>204</v>
      </c>
      <c r="C45" s="6" t="s">
        <v>120</v>
      </c>
      <c r="D45" s="5" t="s">
        <v>157</v>
      </c>
      <c r="E45" s="6"/>
    </row>
    <row r="46" spans="1:5" ht="17.399999999999999" thickBot="1" x14ac:dyDescent="0.45">
      <c r="A46" s="20" t="s">
        <v>21</v>
      </c>
      <c r="B46" s="16" t="s">
        <v>205</v>
      </c>
      <c r="C46" s="5" t="s">
        <v>121</v>
      </c>
      <c r="D46" s="8" t="s">
        <v>158</v>
      </c>
      <c r="E46" s="5"/>
    </row>
    <row r="47" spans="1:5" ht="17.399999999999999" thickBot="1" x14ac:dyDescent="0.45">
      <c r="A47" s="20"/>
      <c r="B47" s="15" t="s">
        <v>206</v>
      </c>
      <c r="C47" s="6" t="s">
        <v>122</v>
      </c>
      <c r="D47" s="6" t="s">
        <v>157</v>
      </c>
      <c r="E47" s="6"/>
    </row>
    <row r="48" spans="1:5" ht="17.399999999999999" thickBot="1" x14ac:dyDescent="0.45">
      <c r="A48" s="20"/>
      <c r="B48" s="15" t="s">
        <v>207</v>
      </c>
      <c r="C48" s="5" t="s">
        <v>123</v>
      </c>
      <c r="D48" s="5" t="s">
        <v>158</v>
      </c>
      <c r="E48" s="5"/>
    </row>
    <row r="49" spans="1:5" ht="17.399999999999999" thickBot="1" x14ac:dyDescent="0.45">
      <c r="A49" s="20"/>
      <c r="B49" s="16" t="s">
        <v>208</v>
      </c>
      <c r="C49" s="6" t="s">
        <v>124</v>
      </c>
      <c r="D49" s="6" t="s">
        <v>157</v>
      </c>
      <c r="E49" s="6"/>
    </row>
    <row r="50" spans="1:5" ht="17.399999999999999" thickBot="1" x14ac:dyDescent="0.45">
      <c r="A50" s="20"/>
      <c r="B50" s="15" t="s">
        <v>209</v>
      </c>
      <c r="C50" s="5" t="s">
        <v>125</v>
      </c>
      <c r="D50" s="5" t="s">
        <v>158</v>
      </c>
      <c r="E50" s="5"/>
    </row>
    <row r="51" spans="1:5" ht="17.399999999999999" thickBot="1" x14ac:dyDescent="0.45">
      <c r="A51" s="20"/>
      <c r="B51" s="15" t="s">
        <v>210</v>
      </c>
      <c r="C51" s="6" t="s">
        <v>126</v>
      </c>
      <c r="D51" s="6" t="s">
        <v>157</v>
      </c>
      <c r="E51" s="6"/>
    </row>
    <row r="52" spans="1:5" ht="17.399999999999999" thickBot="1" x14ac:dyDescent="0.45">
      <c r="A52" s="20" t="s">
        <v>22</v>
      </c>
      <c r="B52" s="16" t="s">
        <v>211</v>
      </c>
      <c r="C52" s="5" t="s">
        <v>127</v>
      </c>
      <c r="D52" s="5" t="s">
        <v>158</v>
      </c>
      <c r="E52" s="5"/>
    </row>
    <row r="53" spans="1:5" ht="17.399999999999999" thickBot="1" x14ac:dyDescent="0.45">
      <c r="A53" s="20"/>
      <c r="B53" s="15" t="s">
        <v>212</v>
      </c>
      <c r="C53" s="6" t="s">
        <v>128</v>
      </c>
      <c r="D53" s="8" t="s">
        <v>157</v>
      </c>
      <c r="E53" s="6"/>
    </row>
    <row r="54" spans="1:5" ht="17.399999999999999" thickBot="1" x14ac:dyDescent="0.45">
      <c r="A54" s="20"/>
      <c r="B54" s="15" t="s">
        <v>213</v>
      </c>
      <c r="C54" s="5" t="s">
        <v>129</v>
      </c>
      <c r="D54" s="6" t="s">
        <v>158</v>
      </c>
      <c r="E54" s="5"/>
    </row>
    <row r="55" spans="1:5" ht="17.399999999999999" thickBot="1" x14ac:dyDescent="0.45">
      <c r="A55" s="20"/>
      <c r="B55" s="16" t="s">
        <v>214</v>
      </c>
      <c r="C55" s="6" t="s">
        <v>130</v>
      </c>
      <c r="D55" s="5" t="s">
        <v>157</v>
      </c>
      <c r="E55" s="6"/>
    </row>
    <row r="56" spans="1:5" ht="17.399999999999999" thickBot="1" x14ac:dyDescent="0.45">
      <c r="A56" s="20"/>
      <c r="B56" s="15" t="s">
        <v>215</v>
      </c>
      <c r="C56" s="5" t="s">
        <v>131</v>
      </c>
      <c r="D56" s="6" t="s">
        <v>158</v>
      </c>
      <c r="E56" s="5"/>
    </row>
    <row r="57" spans="1:5" ht="17.399999999999999" thickBot="1" x14ac:dyDescent="0.45">
      <c r="A57" s="20"/>
      <c r="B57" s="15" t="s">
        <v>216</v>
      </c>
      <c r="C57" s="6" t="s">
        <v>132</v>
      </c>
      <c r="D57" s="5" t="s">
        <v>157</v>
      </c>
      <c r="E57" s="6"/>
    </row>
    <row r="58" spans="1:5" ht="34.200000000000003" thickBot="1" x14ac:dyDescent="0.45">
      <c r="A58" s="20" t="s">
        <v>23</v>
      </c>
      <c r="B58" s="16" t="s">
        <v>217</v>
      </c>
      <c r="C58" s="5" t="s">
        <v>133</v>
      </c>
      <c r="D58" s="6" t="s">
        <v>158</v>
      </c>
      <c r="E58" s="5"/>
    </row>
    <row r="59" spans="1:5" ht="17.399999999999999" thickBot="1" x14ac:dyDescent="0.45">
      <c r="A59" s="27"/>
      <c r="B59" s="15" t="s">
        <v>218</v>
      </c>
      <c r="C59" s="6" t="s">
        <v>134</v>
      </c>
      <c r="D59" s="5" t="s">
        <v>157</v>
      </c>
      <c r="E59" s="6"/>
    </row>
    <row r="60" spans="1:5" ht="17.399999999999999" customHeight="1" thickBot="1" x14ac:dyDescent="0.45">
      <c r="A60" s="24" t="s">
        <v>142</v>
      </c>
      <c r="B60" s="30" t="s">
        <v>219</v>
      </c>
      <c r="C60" s="11" t="s">
        <v>143</v>
      </c>
      <c r="D60" s="8" t="s">
        <v>158</v>
      </c>
      <c r="E60" s="8"/>
    </row>
    <row r="61" spans="1:5" ht="34.200000000000003" thickBot="1" x14ac:dyDescent="0.45">
      <c r="A61" s="25"/>
      <c r="B61" s="30" t="s">
        <v>220</v>
      </c>
      <c r="C61" s="12" t="s">
        <v>144</v>
      </c>
      <c r="D61" s="6" t="s">
        <v>157</v>
      </c>
      <c r="E61" s="6"/>
    </row>
    <row r="62" spans="1:5" ht="34.200000000000003" thickBot="1" x14ac:dyDescent="0.45">
      <c r="A62" s="25"/>
      <c r="B62" s="30" t="s">
        <v>221</v>
      </c>
      <c r="C62" s="13" t="s">
        <v>145</v>
      </c>
      <c r="D62" s="5" t="s">
        <v>158</v>
      </c>
      <c r="E62" s="5"/>
    </row>
    <row r="63" spans="1:5" ht="17.399999999999999" thickBot="1" x14ac:dyDescent="0.45">
      <c r="A63" s="25"/>
      <c r="B63" s="30" t="s">
        <v>222</v>
      </c>
      <c r="C63" s="12" t="s">
        <v>146</v>
      </c>
      <c r="D63" s="6" t="s">
        <v>157</v>
      </c>
      <c r="E63" s="6"/>
    </row>
    <row r="64" spans="1:5" ht="34.200000000000003" thickBot="1" x14ac:dyDescent="0.45">
      <c r="A64" s="25"/>
      <c r="B64" s="30" t="s">
        <v>223</v>
      </c>
      <c r="C64" s="13" t="s">
        <v>147</v>
      </c>
      <c r="D64" s="5" t="s">
        <v>158</v>
      </c>
      <c r="E64" s="5"/>
    </row>
    <row r="65" spans="1:5" ht="51" thickBot="1" x14ac:dyDescent="0.45">
      <c r="A65" s="25"/>
      <c r="B65" s="30" t="s">
        <v>224</v>
      </c>
      <c r="C65" s="12" t="s">
        <v>148</v>
      </c>
      <c r="D65" s="6" t="s">
        <v>157</v>
      </c>
      <c r="E65" s="6"/>
    </row>
    <row r="66" spans="1:5" ht="51" thickBot="1" x14ac:dyDescent="0.45">
      <c r="A66" s="25"/>
      <c r="B66" s="30" t="s">
        <v>225</v>
      </c>
      <c r="C66" s="13" t="s">
        <v>149</v>
      </c>
      <c r="D66" s="5" t="s">
        <v>158</v>
      </c>
      <c r="E66" s="5"/>
    </row>
    <row r="67" spans="1:5" ht="34.200000000000003" thickBot="1" x14ac:dyDescent="0.45">
      <c r="A67" s="25"/>
      <c r="B67" s="30" t="s">
        <v>226</v>
      </c>
      <c r="C67" s="12" t="s">
        <v>150</v>
      </c>
      <c r="D67" s="8" t="s">
        <v>157</v>
      </c>
      <c r="E67" s="6"/>
    </row>
    <row r="68" spans="1:5" ht="34.200000000000003" thickBot="1" x14ac:dyDescent="0.45">
      <c r="A68" s="25"/>
      <c r="B68" s="30" t="s">
        <v>227</v>
      </c>
      <c r="C68" s="13" t="s">
        <v>151</v>
      </c>
      <c r="D68" s="6" t="s">
        <v>158</v>
      </c>
      <c r="E68" s="5"/>
    </row>
    <row r="69" spans="1:5" ht="51" thickBot="1" x14ac:dyDescent="0.45">
      <c r="A69" s="25"/>
      <c r="B69" s="30" t="s">
        <v>228</v>
      </c>
      <c r="C69" s="12" t="s">
        <v>152</v>
      </c>
      <c r="D69" s="5" t="s">
        <v>157</v>
      </c>
      <c r="E69" s="6"/>
    </row>
    <row r="70" spans="1:5" ht="34.200000000000003" thickBot="1" x14ac:dyDescent="0.45">
      <c r="A70" s="25"/>
      <c r="B70" s="30" t="s">
        <v>229</v>
      </c>
      <c r="C70" s="13" t="s">
        <v>153</v>
      </c>
      <c r="D70" s="6" t="s">
        <v>158</v>
      </c>
      <c r="E70" s="5"/>
    </row>
    <row r="71" spans="1:5" ht="51" thickBot="1" x14ac:dyDescent="0.45">
      <c r="A71" s="25"/>
      <c r="B71" s="30" t="s">
        <v>230</v>
      </c>
      <c r="C71" s="12" t="s">
        <v>154</v>
      </c>
      <c r="D71" s="5" t="s">
        <v>157</v>
      </c>
      <c r="E71" s="6"/>
    </row>
    <row r="72" spans="1:5" ht="34.200000000000003" thickBot="1" x14ac:dyDescent="0.45">
      <c r="A72" s="25"/>
      <c r="B72" s="30" t="s">
        <v>231</v>
      </c>
      <c r="C72" s="13" t="s">
        <v>155</v>
      </c>
      <c r="D72" s="6" t="s">
        <v>158</v>
      </c>
      <c r="E72" s="5"/>
    </row>
    <row r="73" spans="1:5" ht="34.200000000000003" thickBot="1" x14ac:dyDescent="0.45">
      <c r="A73" s="26"/>
      <c r="B73" s="30" t="s">
        <v>232</v>
      </c>
      <c r="C73" s="12" t="s">
        <v>156</v>
      </c>
      <c r="D73" s="5" t="s">
        <v>157</v>
      </c>
      <c r="E73" s="6"/>
    </row>
    <row r="74" spans="1:5" ht="15" customHeight="1" thickBot="1" x14ac:dyDescent="0.4">
      <c r="D74" s="9" t="s">
        <v>159</v>
      </c>
      <c r="E74" s="9" t="s">
        <v>160</v>
      </c>
    </row>
    <row r="75" spans="1:5" ht="16.2" customHeight="1" thickBot="1" x14ac:dyDescent="0.4">
      <c r="D75" s="10">
        <f>COUNTIF(D4:D73, "Sí.")</f>
        <v>35</v>
      </c>
      <c r="E75" s="10">
        <f>COUNTIF(D5:D73, "No.")</f>
        <v>34</v>
      </c>
    </row>
    <row r="76" spans="1:5" ht="16.8" x14ac:dyDescent="0.4">
      <c r="D76" s="17"/>
      <c r="E76" s="18" t="s">
        <v>161</v>
      </c>
    </row>
  </sheetData>
  <mergeCells count="13">
    <mergeCell ref="A60:A73"/>
    <mergeCell ref="A1:E1"/>
    <mergeCell ref="A2:E2"/>
    <mergeCell ref="A40:A45"/>
    <mergeCell ref="A46:A51"/>
    <mergeCell ref="A52:A57"/>
    <mergeCell ref="A58:A59"/>
    <mergeCell ref="A4:A9"/>
    <mergeCell ref="A10:A15"/>
    <mergeCell ref="A16:A21"/>
    <mergeCell ref="A22:A27"/>
    <mergeCell ref="A28:A33"/>
    <mergeCell ref="A34:A39"/>
  </mergeCells>
  <phoneticPr fontId="9" type="noConversion"/>
  <conditionalFormatting sqref="D4:D73">
    <cfRule type="containsText" dxfId="1" priority="1" operator="containsText" text="No.">
      <formula>NOT(ISERROR(SEARCH("No.",D4)))</formula>
    </cfRule>
    <cfRule type="containsText" dxfId="0" priority="2" operator="containsText" text="Sí.">
      <formula>NOT(ISERROR(SEARCH("Sí.",D4)))</formula>
    </cfRule>
  </conditionalFormatting>
  <dataValidations count="1">
    <dataValidation type="list" allowBlank="1" showInputMessage="1" showErrorMessage="1" sqref="D4:D73" xr:uid="{89E5B291-B90C-462C-B149-0423A4F78409}">
      <formula1>"Sí., 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A6638-E954-4478-8047-4469C1D8D8A6}">
  <dimension ref="A1:J21"/>
  <sheetViews>
    <sheetView workbookViewId="0">
      <selection activeCell="O9" sqref="O9"/>
    </sheetView>
  </sheetViews>
  <sheetFormatPr defaultRowHeight="14.4" x14ac:dyDescent="0.3"/>
  <sheetData>
    <row r="1" spans="1:10" ht="23.4" x14ac:dyDescent="0.5">
      <c r="A1" s="19" t="s">
        <v>140</v>
      </c>
      <c r="B1" s="19"/>
      <c r="C1" s="19"/>
      <c r="D1" s="19"/>
      <c r="E1" s="19"/>
      <c r="F1" s="19"/>
      <c r="G1" s="19"/>
      <c r="H1" s="19"/>
      <c r="I1" s="19"/>
      <c r="J1" s="19"/>
    </row>
    <row r="2" spans="1:10" ht="51" customHeight="1" x14ac:dyDescent="0.3">
      <c r="A2" s="28" t="e" vm="1">
        <v>#VALUE!</v>
      </c>
      <c r="B2" s="28"/>
      <c r="C2" s="28"/>
      <c r="D2" s="28"/>
      <c r="E2" s="28"/>
      <c r="F2" s="28"/>
      <c r="G2" s="28"/>
      <c r="H2" s="28"/>
      <c r="I2" s="28"/>
      <c r="J2" s="28"/>
    </row>
    <row r="3" spans="1:10" x14ac:dyDescent="0.3">
      <c r="A3" s="28"/>
      <c r="B3" s="28"/>
      <c r="C3" s="28"/>
      <c r="D3" s="28"/>
      <c r="E3" s="28"/>
      <c r="F3" s="28"/>
      <c r="G3" s="28"/>
      <c r="H3" s="28"/>
      <c r="I3" s="28"/>
      <c r="J3" s="28"/>
    </row>
    <row r="4" spans="1:10" ht="15.6" customHeight="1" x14ac:dyDescent="0.3">
      <c r="A4" s="29"/>
      <c r="B4" s="29"/>
      <c r="C4" s="29"/>
      <c r="D4" s="29"/>
      <c r="E4" s="29"/>
      <c r="F4" s="29"/>
      <c r="G4" s="29"/>
      <c r="H4" s="29"/>
      <c r="I4" s="29"/>
      <c r="J4" s="29"/>
    </row>
    <row r="5" spans="1:10" ht="14.4" customHeight="1" x14ac:dyDescent="0.3">
      <c r="A5" s="29"/>
      <c r="B5" s="29"/>
      <c r="C5" s="29"/>
      <c r="D5" s="29"/>
      <c r="E5" s="29"/>
      <c r="F5" s="29"/>
      <c r="G5" s="29"/>
      <c r="H5" s="29"/>
      <c r="I5" s="29"/>
      <c r="J5" s="29"/>
    </row>
    <row r="6" spans="1:10" x14ac:dyDescent="0.3">
      <c r="A6" s="29"/>
      <c r="B6" s="29"/>
      <c r="C6" s="29"/>
      <c r="D6" s="29"/>
      <c r="E6" s="29"/>
      <c r="F6" s="29"/>
      <c r="G6" s="29"/>
      <c r="H6" s="29"/>
      <c r="I6" s="29"/>
      <c r="J6" s="29"/>
    </row>
    <row r="7" spans="1:10" x14ac:dyDescent="0.3">
      <c r="A7" s="29"/>
      <c r="B7" s="29"/>
      <c r="C7" s="29"/>
      <c r="D7" s="29"/>
      <c r="E7" s="29"/>
      <c r="F7" s="29"/>
      <c r="G7" s="29"/>
      <c r="H7" s="29"/>
      <c r="I7" s="29"/>
      <c r="J7" s="29"/>
    </row>
    <row r="8" spans="1:10" x14ac:dyDescent="0.3">
      <c r="A8" s="29"/>
      <c r="B8" s="29"/>
      <c r="C8" s="29"/>
      <c r="D8" s="29"/>
      <c r="E8" s="29"/>
      <c r="F8" s="29"/>
      <c r="G8" s="29"/>
      <c r="H8" s="29"/>
      <c r="I8" s="29"/>
      <c r="J8" s="29"/>
    </row>
    <row r="9" spans="1:10" x14ac:dyDescent="0.3">
      <c r="A9" s="29"/>
      <c r="B9" s="29"/>
      <c r="C9" s="29"/>
      <c r="D9" s="29"/>
      <c r="E9" s="29"/>
      <c r="F9" s="29"/>
      <c r="G9" s="29"/>
      <c r="H9" s="29"/>
      <c r="I9" s="29"/>
      <c r="J9" s="29"/>
    </row>
    <row r="10" spans="1:10" x14ac:dyDescent="0.3">
      <c r="A10" s="29"/>
      <c r="B10" s="29"/>
      <c r="C10" s="29"/>
      <c r="D10" s="29"/>
      <c r="E10" s="29"/>
      <c r="F10" s="29"/>
      <c r="G10" s="29"/>
      <c r="H10" s="29"/>
      <c r="I10" s="29"/>
      <c r="J10" s="29"/>
    </row>
    <row r="11" spans="1:10" x14ac:dyDescent="0.3">
      <c r="A11" s="29"/>
      <c r="B11" s="29"/>
      <c r="C11" s="29"/>
      <c r="D11" s="29"/>
      <c r="E11" s="29"/>
      <c r="F11" s="29"/>
      <c r="G11" s="29"/>
      <c r="H11" s="29"/>
      <c r="I11" s="29"/>
      <c r="J11" s="29"/>
    </row>
    <row r="12" spans="1:10" x14ac:dyDescent="0.3">
      <c r="A12" s="29"/>
      <c r="B12" s="29"/>
      <c r="C12" s="29"/>
      <c r="D12" s="29"/>
      <c r="E12" s="29"/>
      <c r="F12" s="29"/>
      <c r="G12" s="29"/>
      <c r="H12" s="29"/>
      <c r="I12" s="29"/>
      <c r="J12" s="29"/>
    </row>
    <row r="13" spans="1:10" x14ac:dyDescent="0.3">
      <c r="A13" s="29"/>
      <c r="B13" s="29"/>
      <c r="C13" s="29"/>
      <c r="D13" s="29"/>
      <c r="E13" s="29"/>
      <c r="F13" s="29"/>
      <c r="G13" s="29"/>
      <c r="H13" s="29"/>
      <c r="I13" s="29"/>
      <c r="J13" s="29"/>
    </row>
    <row r="14" spans="1:10" x14ac:dyDescent="0.3">
      <c r="A14" s="29"/>
      <c r="B14" s="29"/>
      <c r="C14" s="29"/>
      <c r="D14" s="29"/>
      <c r="E14" s="29"/>
      <c r="F14" s="29"/>
      <c r="G14" s="29"/>
      <c r="H14" s="29"/>
      <c r="I14" s="29"/>
      <c r="J14" s="29"/>
    </row>
    <row r="15" spans="1:10" x14ac:dyDescent="0.3">
      <c r="A15" s="29"/>
      <c r="B15" s="29"/>
      <c r="C15" s="29"/>
      <c r="D15" s="29"/>
      <c r="E15" s="29"/>
      <c r="F15" s="29"/>
      <c r="G15" s="29"/>
      <c r="H15" s="29"/>
      <c r="I15" s="29"/>
      <c r="J15" s="29"/>
    </row>
    <row r="16" spans="1:10" x14ac:dyDescent="0.3">
      <c r="A16" s="29"/>
      <c r="B16" s="29"/>
      <c r="C16" s="29"/>
      <c r="D16" s="29"/>
      <c r="E16" s="29"/>
      <c r="F16" s="29"/>
      <c r="G16" s="29"/>
      <c r="H16" s="29"/>
      <c r="I16" s="29"/>
      <c r="J16" s="29"/>
    </row>
    <row r="17" spans="1:10" x14ac:dyDescent="0.3">
      <c r="A17" s="29"/>
      <c r="B17" s="29"/>
      <c r="C17" s="29"/>
      <c r="D17" s="29"/>
      <c r="E17" s="29"/>
      <c r="F17" s="29"/>
      <c r="G17" s="29"/>
      <c r="H17" s="29"/>
      <c r="I17" s="29"/>
      <c r="J17" s="29"/>
    </row>
    <row r="18" spans="1:10" x14ac:dyDescent="0.3">
      <c r="A18" s="29"/>
      <c r="B18" s="29"/>
      <c r="C18" s="29"/>
      <c r="D18" s="29"/>
      <c r="E18" s="29"/>
      <c r="F18" s="29"/>
      <c r="G18" s="29"/>
      <c r="H18" s="29"/>
      <c r="I18" s="29"/>
      <c r="J18" s="29"/>
    </row>
    <row r="19" spans="1:10" x14ac:dyDescent="0.3">
      <c r="A19" s="29"/>
      <c r="B19" s="29"/>
      <c r="C19" s="29"/>
      <c r="D19" s="29"/>
      <c r="E19" s="29"/>
      <c r="F19" s="29"/>
      <c r="G19" s="29"/>
      <c r="H19" s="29"/>
      <c r="I19" s="29"/>
      <c r="J19" s="29"/>
    </row>
    <row r="20" spans="1:10" x14ac:dyDescent="0.3">
      <c r="A20" s="29"/>
      <c r="B20" s="29"/>
      <c r="C20" s="29"/>
      <c r="D20" s="29"/>
      <c r="E20" s="29"/>
      <c r="F20" s="29"/>
      <c r="G20" s="29"/>
      <c r="H20" s="29"/>
      <c r="I20" s="29"/>
      <c r="J20" s="29"/>
    </row>
    <row r="21" spans="1:10" x14ac:dyDescent="0.3">
      <c r="A21" s="29"/>
      <c r="B21" s="29"/>
      <c r="C21" s="29"/>
      <c r="D21" s="29"/>
      <c r="E21" s="29"/>
      <c r="F21" s="29"/>
      <c r="G21" s="29"/>
      <c r="H21" s="29"/>
      <c r="I21" s="29"/>
      <c r="J21" s="29"/>
    </row>
  </sheetData>
  <mergeCells count="3">
    <mergeCell ref="A1:J1"/>
    <mergeCell ref="A2:J3"/>
    <mergeCell ref="A4:J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Campos de seguridad</vt:lpstr>
      <vt:lpstr>Checklist</vt:lpstr>
      <vt:lpstr>Gráfica</vt:lpstr>
      <vt:lpstr>CumpleOpciones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74513 - María Cecilia Peña Bravo</cp:lastModifiedBy>
  <dcterms:created xsi:type="dcterms:W3CDTF">2024-11-05T20:56:56Z</dcterms:created>
  <dcterms:modified xsi:type="dcterms:W3CDTF">2024-11-13T21:40:53Z</dcterms:modified>
</cp:coreProperties>
</file>